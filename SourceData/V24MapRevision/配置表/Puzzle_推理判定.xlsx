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1ae905855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zzle" sheetId="1" r:id="R25df2b237467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4c7dfd4224c35" /><Relationship Type="http://schemas.openxmlformats.org/officeDocument/2006/relationships/theme" Target="/xl/theme/theme1.xml" Id="R3504957209fd4404" /><Relationship Type="http://schemas.openxmlformats.org/officeDocument/2006/relationships/sharedStrings" Target="/xl/sharedStrings.xml" Id="Rc238fb6e9e6d48ea" /><Relationship Type="http://schemas.openxmlformats.org/officeDocument/2006/relationships/worksheet" Target="/xl/worksheets/sheet1.xml" Id="R25df2b237467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42" hidden="0" customWidth="1"/>
    <x:col min="6" max="6" width="17" hidden="0" customWidth="1"/>
    <x:col min="7" max="7" width="17" hidden="0" customWidth="1"/>
    <x:col min="8" max="8" width="42" hidden="0" customWidth="1"/>
    <x:col min="9" max="9" width="42" hidden="0" customWidth="1"/>
    <x:col min="10" max="10" width="24" hidden="0" customWidth="1"/>
    <x:col min="11" max="11" width="17" hidden="0" customWidth="1"/>
    <x:col min="12" max="12" width="65" hidden="0" customWidth="1"/>
  </x:cols>
  <x:sheetData>
    <x:row r="1" ht="28" customHeight="1">
      <x:c r="A1" s="53" t="str">
        <x:v>##var</x:v>
      </x:c>
      <x:c r="B1" s="53" t="str">
        <x:v>id</x:v>
      </x:c>
      <x:c r="C1" s="53" t="str">
        <x:v>name</x:v>
      </x:c>
      <x:c r="D1" s="53" t="str">
        <x:v>type</x:v>
      </x:c>
      <x:c r="E1" s="53" t="str">
        <x:v>need</x:v>
      </x:c>
      <x:c r="F1" s="53" t="str">
        <x:v>target</x:v>
      </x:c>
      <x:c r="G1" s="53" t="str">
        <x:v>map</x:v>
      </x:c>
      <x:c r="H1" s="53" t="str">
        <x:v>candidates</x:v>
      </x:c>
      <x:c r="I1" s="53" t="str">
        <x:v>answer</x:v>
      </x:c>
      <x:c r="J1" s="53" t="str">
        <x:v>reference</x:v>
      </x:c>
      <x:c r="K1" s="53" t="str">
        <x:v>success</x:v>
      </x:c>
      <x:c r="L1" s="53" t="str">
        <x:v>##</x:v>
      </x:c>
    </x:row>
    <x:row r="2" ht="22" customHeight="1">
      <x:c r="A2" s="55" t="str">
        <x:v>##type</x:v>
      </x:c>
      <x:c r="B2" s="55" t="str">
        <x:v>int</x:v>
      </x:c>
      <x:c r="C2" s="55" t="str">
        <x:v>string</x:v>
      </x:c>
      <x:c r="D2" s="55" t="str">
        <x:v>enum</x:v>
      </x:c>
      <x:c r="E2" s="55" t="str">
        <x:v>string[]</x:v>
      </x:c>
      <x:c r="F2" s="55" t="str">
        <x:v>int</x:v>
      </x:c>
      <x:c r="G2" s="55" t="str">
        <x:v>int</x:v>
      </x:c>
      <x:c r="H2" s="55" t="str">
        <x:v>int[]</x:v>
      </x:c>
      <x:c r="I2" s="55" t="str">
        <x:v>string</x:v>
      </x:c>
      <x:c r="J2" s="55" t="str">
        <x:v>int[]</x:v>
      </x:c>
      <x:c r="K2" s="55" t="str">
        <x:v>int</x:v>
      </x:c>
      <x:c r="L2" s="55" t="str"/>
    </x:row>
    <x:row r="3" ht="22" customHeight="1">
      <x:c r="A3" s="55" t="str">
        <x:v>##group</x:v>
      </x:c>
      <x:c r="B3" s="55" t="str">
        <x:v>c</x:v>
      </x:c>
      <x:c r="C3" s="55" t="str">
        <x:v>c</x:v>
      </x:c>
      <x:c r="D3" s="55" t="str">
        <x:v>c</x:v>
      </x:c>
      <x:c r="E3" s="55" t="str">
        <x:v>c</x:v>
      </x:c>
      <x:c r="F3" s="55" t="str">
        <x:v>c</x:v>
      </x:c>
      <x:c r="G3" s="55" t="str">
        <x:v>c</x:v>
      </x:c>
      <x:c r="H3" s="55" t="str">
        <x:v>c</x:v>
      </x:c>
      <x:c r="I3" s="55" t="str">
        <x:v>c</x:v>
      </x:c>
      <x:c r="J3" s="55" t="str">
        <x:v>c</x:v>
      </x:c>
      <x:c r="K3" s="55" t="str">
        <x:v>c</x:v>
      </x:c>
      <x:c r="L3" s="55" t="str"/>
    </x:row>
    <x:row r="4" ht="30" customHeight="1">
      <x:c r="A4" s="57" t="str">
        <x:v>##</x:v>
      </x:c>
      <x:c r="B4" s="57" t="str">
        <x:v>判定编号</x:v>
      </x:c>
      <x:c r="C4" s="57" t="str">
        <x:v>显示名称</x:v>
      </x:c>
      <x:c r="D4" s="57" t="str">
        <x:v>判定类型</x:v>
      </x:c>
      <x:c r="E4" s="57" t="str">
        <x:v>开放条件</x:v>
      </x:c>
      <x:c r="F4" s="57" t="str">
        <x:v>判定对象</x:v>
      </x:c>
      <x:c r="G4" s="57" t="str">
        <x:v>地图资源</x:v>
      </x:c>
      <x:c r="H4" s="57" t="str">
        <x:v>候选对象</x:v>
      </x:c>
      <x:c r="I4" s="57" t="str">
        <x:v>正确答案</x:v>
      </x:c>
      <x:c r="J4" s="57" t="str">
        <x:v>可靠参照设备</x:v>
      </x:c>
      <x:c r="K4" s="57" t="str">
        <x:v>成功事件</x:v>
      </x:c>
      <x:c r="L4" s="57" t="str">
        <x:v>来源与测试备注</x:v>
      </x:c>
    </x:row>
    <x:row r="5" ht="122" customHeight="1">
      <x:c r="A5" s="59" t="str">
        <x:v>##</x:v>
      </x:c>
      <x:c r="B5" s="59" t="str">
        <x:v>保存草稿、待结算与已完成状态。</x:v>
      </x:c>
      <x:c r="C5" s="59" t="str">
        <x:v>判定标题。</x:v>
      </x:c>
      <x:c r="D5" s="59" t="str">
        <x:v>anchor_align 开场校时；sound_path 开场声音路径；logic_match 文本关联；person_path 人物路径；timeline 支线时间线。</x:v>
      </x:c>
      <x:c r="E5" s="59" t="str">
        <x:v>声音路径列全部开场校时；anchor_align 列可见的参考可靠性证据；logic_match 另受开场完成阶段限制。person_path 列必需信息，timeline 列已验证事件。</x:v>
      </x:c>
      <x:c r="F5" s="59" t="str">
        <x:v>person_path 为 Character.id；其余本版类型填 0，按本行判定及候选对象识别。</x:v>
      </x:c>
      <x:c r="G5" s="59" t="str">
        <x:v>sound_path、person_path 引用 MapConfig.id；其余填 0。</x:v>
      </x:c>
      <x:c r="H5" s="59" t="str">
        <x:v>anchor_align、logic_match 填 Plot.id；路径填地图点位 ID；时间线填 event 类型 Entry.id。允许合法干扰项。</x:v>
      </x:c>
      <x:c r="I5" s="59" t="str">
        <x:v>按 type 解析。anchor_align 为两个不同设备的声响行 ID；logic_match 为 2～3 个不同证据行 ID，均无序；路径／时间线为有序“标签=候选ID”，标签不得重复。</x:v>
      </x:c>
      <x:c r="J5" s="59" t="str">
        <x:v>仅 anchor_align 填允许参考的 DeviceConfig.id；须有对应 need 证据，且设备原本准确或已校正。其他类型留空。</x:v>
      </x:c>
      <x:c r="K5" s="59" t="str">
        <x:v>填 trigger=reward 的 Event.id；无后续可为 0。开场声音路径必填收尾对白事件；timeline 必填结局事件。链结束后才完成判定。</x:v>
      </x:c>
      <x:c r="L5" s="5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26.399999618530273" hidden="0" customHeight="1">
      <x:c r="A6" s="49" t="str"/>
      <x:c r="B6" s="50" t="n">
        <x:v>700003</x:v>
      </x:c>
      <x:c r="C6" s="51" t="str">
        <x:v>同一次银盘声</x:v>
      </x:c>
      <x:c r="D6" s="51" t="str">
        <x:v>anchor_align</x:v>
      </x:c>
      <x:c r="E6" s="62" t="str">
        <x:v>goal:1900016|entry:300023|entry:300061</x:v>
      </x:c>
      <x:c r="F6" s="50" t="n">
        <x:v>0</x:v>
      </x:c>
      <x:c r="G6" s="50" t="n">
        <x:v>0</x:v>
      </x:c>
      <x:c r="H6" s="51" t="str">
        <x:v>500125|500128|500131</x:v>
      </x:c>
      <x:c r="I6" s="51" t="str">
        <x:v>500125|500128</x:v>
      </x:c>
      <x:c r="J6" s="51" t="str">
        <x:v>1100005</x:v>
      </x:c>
      <x:c r="K6" s="50" t="n">
        <x:v>900017</x:v>
      </x:c>
      <x:c r="L6" s="61" t="str">
        <x:v>先播放设备05的600014，在500125点击“厨房”确认设备05位置，再与设备11的同次声响校时。位置确认不改变时钟；真实房间由DeviceConfig绑定。</x:v>
      </x:c>
    </x:row>
    <x:row r="7" ht="26.399999618530273" hidden="0" customHeight="1">
      <x:c r="A7" s="49" t="str"/>
      <x:c r="B7" s="50" t="n">
        <x:v>700001</x:v>
      </x:c>
      <x:c r="C7" s="51" t="str">
        <x:v>声音经过哪些房间</x:v>
      </x:c>
      <x:c r="D7" s="51" t="str">
        <x:v>sound_path</x:v>
      </x:c>
      <x:c r="E7" s="51" t="str">
        <x:v>puzzle:700003|entry:300024</x:v>
      </x:c>
      <x:c r="F7" s="50" t="n">
        <x:v>0</x:v>
      </x:c>
      <x:c r="G7" s="50" t="n">
        <x:v>1200001</x:v>
      </x:c>
      <x:c r="H7" s="51" t="str">
        <x:v>1300005|1300011|1300006|1300014</x:v>
      </x:c>
      <x:c r="I7" s="51" t="str">
        <x:v>A=1300005|B=1300011|C=1300006</x:v>
      </x:c>
      <x:c r="J7" s="51" t="str"/>
      <x:c r="K7" s="50" t="n">
        <x:v>900018</x:v>
      </x:c>
      <x:c r="L7" s="61" t="str">
        <x:v>校时完成后验证声音路径；奖励事件900018发放设备11、设备06的位置线索。奖励链完成后确认位置并切换逻辑关联界面。</x:v>
      </x:c>
    </x:row>
    <x:row r="8" ht="42" customHeight="1">
      <x:c r="A8" s="49" t="str"/>
      <x:c r="B8" s="50" t="n">
        <x:v>700002</x:v>
      </x:c>
      <x:c r="C8" s="51" t="str">
        <x:v>两人是否早已相识</x:v>
      </x:c>
      <x:c r="D8" s="51" t="str">
        <x:v>logic_match</x:v>
      </x:c>
      <x:c r="E8" s="51" t="str">
        <x:v>puzzle:700001</x:v>
      </x:c>
      <x:c r="F8" s="50" t="n">
        <x:v>0</x:v>
      </x:c>
      <x:c r="G8" s="50" t="n">
        <x:v>0</x:v>
      </x:c>
      <x:c r="H8" s="51" t="str">
        <x:v>500341|500473|500330</x:v>
      </x:c>
      <x:c r="I8" s="51" t="str">
        <x:v>500341|500473</x:v>
      </x:c>
      <x:c r="J8" s="51" t="str"/>
      <x:c r="K8" s="50" t="n">
        <x:v>900023</x:v>
      </x:c>
      <x:c r="L8" s="49" t="str">
        <x:v>测试补充；仅用于联调，不代表正式定稿。</x:v>
      </x:c>
    </x:row>
    <x:row r="9" ht="42" customHeight="1">
      <x:c r="A9" s="49" t="str"/>
      <x:c r="B9" s="50" t="n">
        <x:v>700004</x:v>
      </x:c>
      <x:c r="C9" s="51" t="str">
        <x:v>来信是否出自医生</x:v>
      </x:c>
      <x:c r="D9" s="51" t="str">
        <x:v>logic_match</x:v>
      </x:c>
      <x:c r="E9" s="51" t="str">
        <x:v>puzzle:700001|entry:300027|entry:300018</x:v>
      </x:c>
      <x:c r="F9" s="50" t="n">
        <x:v>0</x:v>
      </x:c>
      <x:c r="G9" s="50" t="n">
        <x:v>0</x:v>
      </x:c>
      <x:c r="H9" s="51" t="str">
        <x:v>500142|500519|500523</x:v>
      </x:c>
      <x:c r="I9" s="51" t="str">
        <x:v>500142|500519</x:v>
      </x:c>
      <x:c r="J9" s="51" t="str"/>
      <x:c r="K9" s="50" t="n">
        <x:v>900034</x:v>
      </x:c>
      <x:c r="L9" s="49" t="str">
        <x:v>测试补充；仅用于联调，不代表正式定稿。</x:v>
      </x:c>
    </x:row>
    <x:row r="10" ht="42" customHeight="1">
      <x:c r="A10" s="49" t="str"/>
      <x:c r="B10" s="50" t="n">
        <x:v>700005</x:v>
      </x:c>
      <x:c r="C10" s="51" t="str">
        <x:v>古堡的债务由谁承担</x:v>
      </x:c>
      <x:c r="D10" s="51" t="str">
        <x:v>logic_match</x:v>
      </x:c>
      <x:c r="E10" s="51" t="str">
        <x:v>puzzle:700001</x:v>
      </x:c>
      <x:c r="F10" s="50" t="n">
        <x:v>0</x:v>
      </x:c>
      <x:c r="G10" s="50" t="n">
        <x:v>0</x:v>
      </x:c>
      <x:c r="H10" s="51" t="str">
        <x:v>500101|500170|500096</x:v>
      </x:c>
      <x:c r="I10" s="51" t="str">
        <x:v>500101|500170</x:v>
      </x:c>
      <x:c r="J10" s="51" t="str"/>
      <x:c r="K10" s="50" t="n">
        <x:v>900042</x:v>
      </x:c>
      <x:c r="L10" s="49" t="str">
        <x:v>测试补充；仅用于联调，不代表正式定稿。</x:v>
      </x:c>
    </x:row>
    <x:row r="11" ht="42" customHeight="1">
      <x:c r="A11" s="49" t="str"/>
      <x:c r="B11" s="50" t="n">
        <x:v>700006</x:v>
      </x:c>
      <x:c r="C11" s="51" t="str">
        <x:v>饮品安排</x:v>
      </x:c>
      <x:c r="D11" s="51" t="str">
        <x:v>logic_match</x:v>
      </x:c>
      <x:c r="E11" s="51" t="str">
        <x:v>puzzle:700001|goal:1900039</x:v>
      </x:c>
      <x:c r="F11" s="50" t="n">
        <x:v>0</x:v>
      </x:c>
      <x:c r="G11" s="50" t="n">
        <x:v>0</x:v>
      </x:c>
      <x:c r="H11" s="51" t="str">
        <x:v>500176|500177|500095</x:v>
      </x:c>
      <x:c r="I11" s="51" t="str">
        <x:v>500176|500177</x:v>
      </x:c>
      <x:c r="J11" s="51" t="str"/>
      <x:c r="K11" s="50" t="n">
        <x:v>900043</x:v>
      </x:c>
      <x:c r="L11" s="49" t="str">
        <x:v>测试补充；仅用于联调，不代表正式定稿。</x:v>
      </x:c>
    </x:row>
    <x:row r="12" ht="42" customHeight="1">
      <x:c r="A12" s="49" t="str"/>
      <x:c r="B12" s="50" t="n">
        <x:v>700007</x:v>
      </x:c>
      <x:c r="C12" s="51" t="str">
        <x:v>饮品之后发生了什么</x:v>
      </x:c>
      <x:c r="D12" s="51" t="str">
        <x:v>logic_match</x:v>
      </x:c>
      <x:c r="E12" s="51" t="str">
        <x:v>puzzle:700001|goal:1900039</x:v>
      </x:c>
      <x:c r="F12" s="50" t="n">
        <x:v>0</x:v>
      </x:c>
      <x:c r="G12" s="50" t="n">
        <x:v>0</x:v>
      </x:c>
      <x:c r="H12" s="51" t="str">
        <x:v>500177|500178|500095</x:v>
      </x:c>
      <x:c r="I12" s="51" t="str">
        <x:v>500177|500178</x:v>
      </x:c>
      <x:c r="J12" s="51" t="str"/>
      <x:c r="K12" s="50" t="n">
        <x:v>900044</x:v>
      </x:c>
      <x:c r="L12" s="49" t="str">
        <x:v>测试补充；仅用于联调，不代表正式定稿。</x:v>
      </x:c>
    </x:row>
    <x:row r="13" ht="42" customHeight="1">
      <x:c r="A13" s="49" t="str"/>
      <x:c r="B13" s="50" t="n">
        <x:v>700008</x:v>
      </x:c>
      <x:c r="C13" s="51" t="str">
        <x:v>尸体如何到达画后</x:v>
      </x:c>
      <x:c r="D13" s="51" t="str">
        <x:v>logic_match</x:v>
      </x:c>
      <x:c r="E13" s="51" t="str">
        <x:v>puzzle:700001|goal:1900039</x:v>
      </x:c>
      <x:c r="F13" s="50" t="n">
        <x:v>0</x:v>
      </x:c>
      <x:c r="G13" s="50" t="n">
        <x:v>0</x:v>
      </x:c>
      <x:c r="H13" s="51" t="str">
        <x:v>500178|500180|500095</x:v>
      </x:c>
      <x:c r="I13" s="51" t="str">
        <x:v>500178|500180</x:v>
      </x:c>
      <x:c r="J13" s="51" t="str"/>
      <x:c r="K13" s="50" t="n">
        <x:v>900045</x:v>
      </x:c>
      <x:c r="L13" s="49" t="str">
        <x:v>测试补充；仅用于联调，不代表正式定稿。</x:v>
      </x:c>
    </x:row>
    <x:row r="14" ht="42" customHeight="1">
      <x:c r="A14" s="49" t="str"/>
      <x:c r="B14" s="50" t="n">
        <x:v>700009</x:v>
      </x:c>
      <x:c r="C14" s="51" t="str">
        <x:v>谁替换了公爵的身份</x:v>
      </x:c>
      <x:c r="D14" s="51" t="str">
        <x:v>logic_match</x:v>
      </x:c>
      <x:c r="E14" s="51" t="str">
        <x:v>puzzle:700001|entry:300030|goal:1900049</x:v>
      </x:c>
      <x:c r="F14" s="50" t="n">
        <x:v>0</x:v>
      </x:c>
      <x:c r="G14" s="50" t="n">
        <x:v>0</x:v>
      </x:c>
      <x:c r="H14" s="51" t="str">
        <x:v>500189|500191|500192|500094</x:v>
      </x:c>
      <x:c r="I14" s="51" t="str">
        <x:v>500189|500191|500192</x:v>
      </x:c>
      <x:c r="J14" s="51" t="str"/>
      <x:c r="K14" s="50" t="n">
        <x:v>900050</x:v>
      </x:c>
      <x:c r="L14" s="49" t="str">
        <x:v>测试补充；仅用于联调，不代表正式定稿。</x:v>
      </x:c>
    </x:row>
    <x:row r="15" ht="57" customHeight="1">
      <x:c r="A15" s="49" t="str"/>
      <x:c r="B15" s="50" t="n">
        <x:v>700010</x:v>
      </x:c>
      <x:c r="C15" s="51" t="str">
        <x:v>维里诺的取食路线</x:v>
      </x:c>
      <x:c r="D15" s="51" t="str">
        <x:v>person_path</x:v>
      </x:c>
      <x:c r="E15" s="51" t="str">
        <x:v>entry:300008|entry:300041|entry:300042|entry:300043</x:v>
      </x:c>
      <x:c r="F15" s="50" t="n">
        <x:v>200006</x:v>
      </x:c>
      <x:c r="G15" s="50" t="n">
        <x:v>1200001</x:v>
      </x:c>
      <x:c r="H15" s="51" t="str">
        <x:v>1300011|1300005|1300006|1300014</x:v>
      </x:c>
      <x:c r="I15" s="51" t="str">
        <x:v>A=1300011|B=1300005|C=1300011</x:v>
      </x:c>
      <x:c r="J15" s="51" t="str"/>
      <x:c r="K15" s="50" t="n">
        <x:v>900053</x:v>
      </x:c>
      <x:c r="L15" s="49" t="str">
        <x:v>测试补充；仅用于联调，不代表正式定稿。</x:v>
      </x:c>
    </x:row>
    <x:row r="16" ht="42" customHeight="1">
      <x:c r="A16" s="49" t="str"/>
      <x:c r="B16" s="50" t="n">
        <x:v>700011</x:v>
      </x:c>
      <x:c r="C16" s="51" t="str">
        <x:v>公爵是否仍在古堡</x:v>
      </x:c>
      <x:c r="D16" s="51" t="str">
        <x:v>logic_match</x:v>
      </x:c>
      <x:c r="E16" s="51" t="str">
        <x:v>puzzle:700001|entry:300035</x:v>
      </x:c>
      <x:c r="F16" s="50" t="n">
        <x:v>0</x:v>
      </x:c>
      <x:c r="G16" s="50" t="n">
        <x:v>0</x:v>
      </x:c>
      <x:c r="H16" s="51" t="str">
        <x:v>500199|500200|500180</x:v>
      </x:c>
      <x:c r="I16" s="51" t="str">
        <x:v>500199|500200</x:v>
      </x:c>
      <x:c r="J16" s="51" t="str"/>
      <x:c r="K16" s="50" t="n">
        <x:v>900054</x:v>
      </x:c>
      <x:c r="L16" s="49" t="str">
        <x:v>测试补充；仅用于联调，不代表正式定稿。</x:v>
      </x:c>
    </x:row>
    <x:row r="17" ht="39.599998474121094" hidden="0" customHeight="1">
      <x:c r="A17" s="49" t="str"/>
      <x:c r="B17" s="50" t="n">
        <x:v>700012</x:v>
      </x:c>
      <x:c r="C17" s="51" t="str">
        <x:v>重构古堡真相</x:v>
      </x:c>
      <x:c r="D17" s="51" t="str">
        <x:v>timeline</x:v>
      </x:c>
      <x:c r="E17" s="62" t="str">
        <x:v>goal:1900055|entry:300034|entry:300035|entry:300036|entry:300037|entry:300038|entry:300039|entry:300040|puzzle:700010|entry:300045|entry:300026</x:v>
      </x:c>
      <x:c r="F17" s="50" t="n">
        <x:v>0</x:v>
      </x:c>
      <x:c r="G17" s="50" t="n">
        <x:v>0</x:v>
      </x:c>
      <x:c r="H17" s="51" t="str">
        <x:v>300034|300035|300036|300037|300038|300039|300040</x:v>
      </x:c>
      <x:c r="I17" s="51" t="str">
        <x:v>S1=300034|S2=300035|S3=300036|S4=300037|S5=300038|S6=300039|S7=300040</x:v>
      </x:c>
      <x:c r="J17" s="51" t="str"/>
      <x:c r="K17" s="50" t="n">
        <x:v>900058</x:v>
      </x:c>
      <x:c r="L17" s="49" t="str">
        <x:v>测试补充；仅用于联调，不代表正式定稿。</x:v>
      </x:c>
    </x:row>
  </x:sheetData>
  <x:dataValidations count="1">
    <x:dataValidation type="list" sqref="D6:D17">
      <x:formula1>"anchor_align,sound_path,logic_match,person_path,timeline"</x:formula1>
    </x:dataValidation>
  </x:dataValidations>
  <x:pageMargins left="0.7" right="0.7" top="0.75" bottom="0.75" header="0.3" footer="0.3"/>
</x:worksheet>
</file>