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5ca68de64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c0dadb33f123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7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20" borderId="1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9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0" fontId="16" fillId="19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9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0" fontId="16" fillId="19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2" fillId="21" borderId="1" xfId="0" applyNumberFormat="1" applyFont="1" applyFill="1" applyBorder="1" applyAlignment="1">
      <x:alignment vertical="center" wrapText="1"/>
    </x:xf>
    <x:xf numFmtId="0" fontId="13" fillId="22" borderId="1" xfId="0" applyNumberFormat="1" applyFont="1" applyFill="1" applyBorder="1" applyAlignment="1">
      <x:alignment vertical="center" wrapText="1"/>
    </x:xf>
    <x:xf numFmtId="0" fontId="18" fillId="22" borderId="1" xfId="0" applyNumberFormat="1" applyFont="1" applyFill="1" applyBorder="1" applyAlignment="1">
      <x:alignment vertical="center" wrapText="1"/>
    </x:xf>
    <x:xf numFmtId="0" fontId="14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5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top" wrapText="1"/>
    </x:xf>
    <x:xf numFmtId="0" fontId="16" fillId="25" borderId="1" xfId="0" applyNumberFormat="1" applyFont="1" applyFill="1" applyBorder="1" applyAlignment="1">
      <x:alignment vertical="center" wrapText="1"/>
    </x:xf>
    <x:xf numFmtId="200" fontId="16" fillId="25" borderId="1" xfId="0" applyNumberFormat="1" applyFont="1" applyFill="1" applyBorder="1" applyAlignment="1">
      <x:alignment vertical="center" wrapText="1"/>
    </x:xf>
    <x:xf numFmtId="201" fontId="16" fillId="25" borderId="1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vertical="center" wrapText="1"/>
    </x:xf>
    <x:xf numFmtId="200" fontId="16" fillId="25" borderId="0" xfId="0" applyNumberFormat="1" applyFont="1" applyFill="1" applyBorder="1" applyAlignment="1">
      <x:alignment vertical="center" wrapText="1"/>
    </x:xf>
    <x:xf numFmtId="201" fontId="16" fillId="25" borderId="0" xfId="0" applyNumberFormat="1" applyFont="1" applyFill="1" applyBorder="1" applyAlignment="1">
      <x:alignment vertical="center" wrapText="1"/>
    </x:xf>
    <x:xf numFmtId="0" fontId="17" fillId="25" borderId="0" xfId="0" applyNumberFormat="1" applyFont="1" applyFill="1" applyBorder="1" applyAlignment="1">
      <x:alignment vertical="center" wrapText="1"/>
    </x:xf>
    <x:xf numFmtId="200" fontId="17" fillId="25" borderId="0" xfId="0" applyNumberFormat="1" applyFont="1" applyFill="1" applyBorder="1" applyAlignment="1">
      <x:alignment vertical="center" wrapText="1"/>
    </x:xf>
    <x:xf numFmtId="201" fontId="16" fillId="26" borderId="1" xfId="0" applyNumberFormat="1" applyFont="1" applyFill="1" applyBorder="1" applyAlignment="1">
      <x:alignment vertical="center" wrapText="1"/>
    </x:xf>
    <x:xf numFmtId="201" fontId="16" fillId="26" borderId="0" xfId="0" applyNumberFormat="1" applyFont="1" applyFill="1" applyBorder="1" applyAlignment="1">
      <x:alignment vertical="center" wrapText="1"/>
    </x:xf>
    <x:xf numFmtId="0" fontId="17" fillId="26" borderId="0" xfId="0" applyNumberFormat="1" applyFont="1" applyFill="1" applyBorder="1" applyAlignment="1">
      <x:alignment vertical="center" wrapText="1"/>
    </x:xf>
    <x:xf numFmtId="0" fontId="21" fillId="25" borderId="1" xfId="0" applyNumberFormat="1" applyFont="1" applyFill="1" applyBorder="1" applyAlignment="1">
      <x:alignment vertical="center" wrapText="1"/>
    </x:xf>
    <x:xf numFmtId="0" fontId="21" fillId="2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642fc42044653" /><Relationship Type="http://schemas.openxmlformats.org/officeDocument/2006/relationships/theme" Target="/xl/theme/theme1.xml" Id="Ra82f87bba6204d6e" /><Relationship Type="http://schemas.openxmlformats.org/officeDocument/2006/relationships/sharedStrings" Target="/xl/sharedStrings.xml" Id="Rbe0ad2a7d164492c" /><Relationship Type="http://schemas.openxmlformats.org/officeDocument/2006/relationships/worksheet" Target="/xl/worksheets/sheet1.xml" Id="Rc0dadb33f123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7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58" hidden="0" customWidth="1"/>
  </x:cols>
  <x:sheetData>
    <x:row r="1" ht="28" customHeight="1">
      <x:c r="A1" s="109" t="str">
        <x:v>##var</x:v>
      </x:c>
      <x:c r="B1" s="109" t="str">
        <x:v>id</x:v>
      </x:c>
      <x:c r="C1" s="109" t="str">
        <x:v>name</x:v>
      </x:c>
      <x:c r="D1" s="109" t="str">
        <x:v>type</x:v>
      </x:c>
      <x:c r="E1" s="109" t="str">
        <x:v>text</x:v>
      </x:c>
      <x:c r="F1" s="109" t="str">
        <x:v>icon</x:v>
      </x:c>
      <x:c r="G1" s="109" t="str">
        <x:v>detail_image</x:v>
      </x:c>
      <x:c r="H1" s="109" t="str">
        <x:v>owner</x:v>
      </x:c>
      <x:c r="I1" s="109" t="str">
        <x:v>record</x:v>
      </x:c>
      <x:c r="J1" s="109" t="str">
        <x:v>source</x:v>
      </x:c>
      <x:c r="K1" s="109" t="str">
        <x:v>##</x:v>
      </x:c>
    </x:row>
    <x:row r="2" ht="24" customHeight="1">
      <x:c r="A2" s="111" t="str">
        <x:v>##type</x:v>
      </x:c>
      <x:c r="B2" s="111" t="str">
        <x:v>int</x:v>
      </x:c>
      <x:c r="C2" s="111" t="str">
        <x:v>string</x:v>
      </x:c>
      <x:c r="D2" s="111" t="str">
        <x:v>enum</x:v>
      </x:c>
      <x:c r="E2" s="111" t="str">
        <x:v>string</x:v>
      </x:c>
      <x:c r="F2" s="111" t="str">
        <x:v>string</x:v>
      </x:c>
      <x:c r="G2" s="111" t="str">
        <x:v>string</x:v>
      </x:c>
      <x:c r="H2" s="111" t="str">
        <x:v>int[]</x:v>
      </x:c>
      <x:c r="I2" s="111" t="str">
        <x:v>int</x:v>
      </x:c>
      <x:c r="J2" s="111" t="str">
        <x:v>string[]</x:v>
      </x:c>
      <x:c r="K2" s="111"/>
    </x:row>
    <x:row r="3" ht="24" customHeight="1">
      <x:c r="A3" s="111" t="str">
        <x:v>##group</x:v>
      </x:c>
      <x:c r="B3" s="111" t="str">
        <x:v>c</x:v>
      </x:c>
      <x:c r="C3" s="111" t="str">
        <x:v>c</x:v>
      </x:c>
      <x:c r="D3" s="111" t="str">
        <x:v>c</x:v>
      </x:c>
      <x:c r="E3" s="111" t="str">
        <x:v>c</x:v>
      </x:c>
      <x:c r="F3" s="111" t="str">
        <x:v>c</x:v>
      </x:c>
      <x:c r="G3" s="111" t="str">
        <x:v>c</x:v>
      </x:c>
      <x:c r="H3" s="111" t="str">
        <x:v>c</x:v>
      </x:c>
      <x:c r="I3" s="111" t="str">
        <x:v>c</x:v>
      </x:c>
      <x:c r="J3" s="111" t="str">
        <x:v>c</x:v>
      </x:c>
      <x:c r="K3" s="111"/>
    </x:row>
    <x:row r="4" ht="28" customHeight="1">
      <x:c r="A4" s="113" t="str">
        <x:v>##</x:v>
      </x:c>
      <x:c r="B4" s="113" t="str">
        <x:v>内容编号</x:v>
      </x:c>
      <x:c r="C4" s="113" t="str">
        <x:v>名称</x:v>
      </x:c>
      <x:c r="D4" s="113" t="str">
        <x:v>内容类型</x:v>
      </x:c>
      <x:c r="E4" s="113" t="str">
        <x:v>说明正文</x:v>
      </x:c>
      <x:c r="F4" s="113" t="str">
        <x:v>图标资源</x:v>
      </x:c>
      <x:c r="G4" s="113" t="str">
        <x:v>详情图片</x:v>
      </x:c>
      <x:c r="H4" s="113" t="str">
        <x:v>关联人物</x:v>
      </x:c>
      <x:c r="I4" s="113" t="str">
        <x:v>磁带初始文件</x:v>
      </x:c>
      <x:c r="J4" s="113" t="str">
        <x:v>证据来源</x:v>
      </x:c>
      <x:c r="K4" s="113" t="str">
        <x:v>来源与测试备注</x:v>
      </x:c>
    </x:row>
    <x:row r="5" ht="85" hidden="0" customHeight="1">
      <x:c r="A5" s="116" t="str">
        <x:v>##</x:v>
      </x:c>
      <x:c r="B5" s="116" t="str">
        <x:v>获得、条件、来源及奖励共用的内容索引。</x:v>
      </x:c>
      <x:c r="C5" s="116" t="str">
        <x:v>道具、磁带、信息或事件卡名称。</x:v>
      </x:c>
      <x:c r="D5" s="116" t="str">
        <x:v>item道具；tape磁带；info人物资料/灵感/奖励句；clue调查册记录（含设备定位）；event兼容旧类型，本版不使用。</x:v>
      </x:c>
      <x:c r="E5" s="116" t="str">
        <x:v>右侧详情正文；info 每行是一条逐步解锁的人物介绍；event 只写已证实事实。</x:v>
      </x:c>
      <x:c r="F5" s="116" t="str">
        <x:v>列表图标；空则用该类型通用图标。</x:v>
      </x:c>
      <x:c r="G5" s="116" t="str">
        <x:v>选填；邀请函等展开大图，无图时仅显示正文。</x:v>
      </x:c>
      <x:c r="H5" s="116" t="str">
        <x:v>引用 Character.id；info 必填一人，event 可关联多人。</x:v>
      </x:c>
      <x:c r="I5" s="116" t="str">
        <x:v>仅 tape 使用；引用 Record.id，0 为空白。获得时复制到磁带实例。</x:v>
      </x:c>
      <x:c r="J5" s="116" t="str">
        <x:v>用event:/plot:/record:/puzzle:加ID溯源，只定位不自动发奖；关键词首次领取写在Plot.link_target，判定奖励写在Event.reward。多个来源按|分隔。</x:v>
      </x:c>
      <x:c r="K5" s="116" t="str">
        <x:v>本列不导入。粉色单元格：文案原句/作者修订/已确认地图名称；蓝色：配置、补写说明及备注。颜色不代表整行来源。第6行起正式数据。</x:v>
      </x:c>
    </x:row>
    <x:row r="6" ht="70" customHeight="1">
      <x:c r="A6" s="117"/>
      <x:c r="B6" s="118" t="n">
        <x:v>320300</x:v>
      </x:c>
      <x:c r="C6" s="119" t="str">
        <x:v>佩克里斯初始资料</x:v>
      </x:c>
      <x:c r="D6" s="119" t="str">
        <x:v>info</x:v>
      </x:c>
      <x:c r="E6" s="119" t="str">
        <x:v>姓名：佩克里斯
身份：劳里耶古堡管家
性别：男
年龄：55</x:v>
      </x:c>
      <x:c r="F6" s="119"/>
      <x:c r="G6" s="119"/>
      <x:c r="H6" s="119" t="str">
        <x:v>200003</x:v>
      </x:c>
      <x:c r="I6" s="118" t="n">
        <x:v>0</x:v>
      </x:c>
      <x:c r="J6" s="119" t="str">
        <x:v>event:920003</x:v>
      </x:c>
      <x:c r="K6" s="128" t="str">
        <x:v>系统文案需求表(4) 人物页面（详情页）；原字段组合排版，非单段原句</x:v>
      </x:c>
    </x:row>
    <x:row r="7" ht="34" customHeight="1">
      <x:c r="A7" s="117"/>
      <x:c r="B7" s="118" t="n">
        <x:v>320310</x:v>
      </x:c>
      <x:c r="C7" s="119" t="str">
        <x:v>佩克里斯灵感1</x:v>
      </x:c>
      <x:c r="D7" s="119" t="str">
        <x:v>info</x:v>
      </x:c>
      <x:c r="E7" s="125" t="str">
        <x:v>劳里耶古堡似乎并没有给你发过邀请函</x:v>
      </x:c>
      <x:c r="F7" s="119"/>
      <x:c r="G7" s="119"/>
      <x:c r="H7" s="119" t="str">
        <x:v>200003</x:v>
      </x:c>
      <x:c r="I7" s="118" t="n">
        <x:v>0</x:v>
      </x:c>
      <x:c r="J7" s="119" t="str">
        <x:v>plot:520031|plot:520246|record:620102|record:620011</x:v>
      </x:c>
      <x:c r="K7" s="128" t="str">
        <x:v>系统文案需求表(4) 人物页面（详情页）!F2</x:v>
      </x:c>
    </x:row>
    <x:row r="8" ht="34" hidden="0" customHeight="1">
      <x:c r="A8" s="117"/>
      <x:c r="B8" s="118" t="n">
        <x:v>320311</x:v>
      </x:c>
      <x:c r="C8" s="119" t="str">
        <x:v>佩克里斯灵感1-1</x:v>
      </x:c>
      <x:c r="D8" s="119" t="str">
        <x:v>info</x:v>
      </x:c>
      <x:c r="E8" s="125" t="str">
        <x:v>古堡并没有给你发过邀请函</x:v>
      </x:c>
      <x:c r="F8" s="119"/>
      <x:c r="G8" s="119"/>
      <x:c r="H8" s="119" t="str">
        <x:v>200003</x:v>
      </x:c>
      <x:c r="I8" s="118" t="n">
        <x:v>0</x:v>
      </x:c>
      <x:c r="J8" s="119" t="str">
        <x:v>plot:520246|record:620011</x:v>
      </x:c>
      <x:c r="K8" s="128" t="str">
        <x:v>系统文案需求表(4) 人物页面（详情页）!G2</x:v>
      </x:c>
    </x:row>
    <x:row r="9" ht="34" customHeight="1">
      <x:c r="A9" s="117"/>
      <x:c r="B9" s="118" t="n">
        <x:v>320320</x:v>
      </x:c>
      <x:c r="C9" s="119" t="str">
        <x:v>佩克里斯灵感2</x:v>
      </x:c>
      <x:c r="D9" s="119" t="str">
        <x:v>info</x:v>
      </x:c>
      <x:c r="E9" s="125" t="str">
        <x:v>佩克里斯主动提出赠送伴手礼</x:v>
      </x:c>
      <x:c r="F9" s="119"/>
      <x:c r="G9" s="119"/>
      <x:c r="H9" s="119" t="str">
        <x:v>200003</x:v>
      </x:c>
      <x:c r="I9" s="118" t="n">
        <x:v>0</x:v>
      </x:c>
      <x:c r="J9" s="119" t="str">
        <x:v>plot:520249|record:620011</x:v>
      </x:c>
      <x:c r="K9" s="128" t="str">
        <x:v>系统文案需求表(4) 人物页面（详情页）!H2</x:v>
      </x:c>
    </x:row>
    <x:row r="10" ht="40" customHeight="1">
      <x:c r="A10" s="117"/>
      <x:c r="B10" s="118" t="n">
        <x:v>320330</x:v>
      </x:c>
      <x:c r="C10" s="119" t="str">
        <x:v>佩克里斯灵感3</x:v>
      </x:c>
      <x:c r="D10" s="119" t="str">
        <x:v>info</x:v>
      </x:c>
      <x:c r="E10" s="125" t="str">
        <x:v>佩克里斯对阿塔梅十分尊敬</x:v>
      </x:c>
      <x:c r="F10" s="119"/>
      <x:c r="G10" s="119"/>
      <x:c r="H10" s="119" t="str">
        <x:v>200003</x:v>
      </x:c>
      <x:c r="I10" s="118" t="n">
        <x:v>0</x:v>
      </x:c>
      <x:c r="J10" s="119" t="str">
        <x:v>puzzle:720012|plot:520214|record:620008|plot:520271|record:620013|plot:520226|record:620009</x:v>
      </x:c>
      <x:c r="K10" s="128" t="str">
        <x:v>系统文案需求表(4) 人物页面（详情页）!J2</x:v>
      </x:c>
    </x:row>
    <x:row r="11" ht="34" customHeight="1">
      <x:c r="A11" s="117"/>
      <x:c r="B11" s="118" t="n">
        <x:v>320340</x:v>
      </x:c>
      <x:c r="C11" s="119" t="str">
        <x:v>佩克里斯灵感4</x:v>
      </x:c>
      <x:c r="D11" s="119" t="str">
        <x:v>info</x:v>
      </x:c>
      <x:c r="E11" s="125" t="str">
        <x:v>佩克里斯自幼就在劳里耶古堡任职</x:v>
      </x:c>
      <x:c r="F11" s="119"/>
      <x:c r="G11" s="119"/>
      <x:c r="H11" s="119" t="str">
        <x:v>200003</x:v>
      </x:c>
      <x:c r="I11" s="118" t="n">
        <x:v>0</x:v>
      </x:c>
      <x:c r="J11" s="119" t="str">
        <x:v>plot:520352|record:620129</x:v>
      </x:c>
      <x:c r="K11" s="128" t="str">
        <x:v>系统文案需求表(4) 人物页面（详情页）!K2</x:v>
      </x:c>
    </x:row>
    <x:row r="12" ht="70" customHeight="1">
      <x:c r="A12" s="117"/>
      <x:c r="B12" s="118" t="n">
        <x:v>320200</x:v>
      </x:c>
      <x:c r="C12" s="119" t="str">
        <x:v>米娅初始资料</x:v>
      </x:c>
      <x:c r="D12" s="119" t="str">
        <x:v>info</x:v>
      </x:c>
      <x:c r="E12" s="119" t="str">
        <x:v>姓名：米娅
身份：劳里耶古堡女佣
性别：女
年龄：16</x:v>
      </x:c>
      <x:c r="F12" s="119"/>
      <x:c r="G12" s="119"/>
      <x:c r="H12" s="119" t="str">
        <x:v>200002</x:v>
      </x:c>
      <x:c r="I12" s="118" t="n">
        <x:v>0</x:v>
      </x:c>
      <x:c r="J12" s="119" t="str">
        <x:v>event:920004</x:v>
      </x:c>
      <x:c r="K12" s="128" t="str">
        <x:v>系统文案需求表(4) 人物页面（详情页）；原字段组合排版，非单段原句</x:v>
      </x:c>
    </x:row>
    <x:row r="13" ht="34" customHeight="1">
      <x:c r="A13" s="117"/>
      <x:c r="B13" s="118" t="n">
        <x:v>320210</x:v>
      </x:c>
      <x:c r="C13" s="119" t="str">
        <x:v>米娅灵感1</x:v>
      </x:c>
      <x:c r="D13" s="119" t="str">
        <x:v>info</x:v>
      </x:c>
      <x:c r="E13" s="125" t="str">
        <x:v>米娅非常喜欢你的音乐</x:v>
      </x:c>
      <x:c r="F13" s="119"/>
      <x:c r="G13" s="119"/>
      <x:c r="H13" s="119" t="str">
        <x:v>200002</x:v>
      </x:c>
      <x:c r="I13" s="118" t="n">
        <x:v>0</x:v>
      </x:c>
      <x:c r="J13" s="119" t="str">
        <x:v>record:620014</x:v>
      </x:c>
      <x:c r="K13" s="128" t="str">
        <x:v>系统文案需求表(4) 人物页面（详情页）!F3</x:v>
      </x:c>
    </x:row>
    <x:row r="14" ht="34" customHeight="1">
      <x:c r="A14" s="117"/>
      <x:c r="B14" s="118" t="n">
        <x:v>320220</x:v>
      </x:c>
      <x:c r="C14" s="119" t="str">
        <x:v>米娅灵感2</x:v>
      </x:c>
      <x:c r="D14" s="119" t="str">
        <x:v>info</x:v>
      </x:c>
      <x:c r="E14" s="125" t="str">
        <x:v>米娅是三年前才来到古堡的</x:v>
      </x:c>
      <x:c r="F14" s="119"/>
      <x:c r="G14" s="119"/>
      <x:c r="H14" s="119" t="str">
        <x:v>200002</x:v>
      </x:c>
      <x:c r="I14" s="118" t="n">
        <x:v>0</x:v>
      </x:c>
      <x:c r="J14" s="119" t="str">
        <x:v>plot:520509|record:620137</x:v>
      </x:c>
      <x:c r="K14" s="128" t="str">
        <x:v>系统文案需求表(4) 人物页面（详情页）!H3</x:v>
      </x:c>
    </x:row>
    <x:row r="15" ht="34" customHeight="1">
      <x:c r="A15" s="117"/>
      <x:c r="B15" s="118" t="n">
        <x:v>320230</x:v>
      </x:c>
      <x:c r="C15" s="119" t="str">
        <x:v>米娅灵感3</x:v>
      </x:c>
      <x:c r="D15" s="119" t="str">
        <x:v>info</x:v>
      </x:c>
      <x:c r="E15" s="125" t="str">
        <x:v>据女佣们所说，古堡里似乎“闹鬼”？</x:v>
      </x:c>
      <x:c r="F15" s="119"/>
      <x:c r="G15" s="119"/>
      <x:c r="H15" s="119" t="str">
        <x:v>200002</x:v>
      </x:c>
      <x:c r="I15" s="118" t="n">
        <x:v>0</x:v>
      </x:c>
      <x:c r="J15" s="119" t="str">
        <x:v>plot:520816|record:620165</x:v>
      </x:c>
      <x:c r="K15" s="128" t="str">
        <x:v>系统文案需求表(4) 人物页面（详情页）!J3</x:v>
      </x:c>
    </x:row>
    <x:row r="16" ht="34" customHeight="1">
      <x:c r="A16" s="117"/>
      <x:c r="B16" s="118" t="n">
        <x:v>320240</x:v>
      </x:c>
      <x:c r="C16" s="119" t="str">
        <x:v>米娅灵感4</x:v>
      </x:c>
      <x:c r="D16" s="119" t="str">
        <x:v>info</x:v>
      </x:c>
      <x:c r="E16" s="125" t="str">
        <x:v>古堡里的佣人大多都不喜欢安东尼公爵</x:v>
      </x:c>
      <x:c r="F16" s="119"/>
      <x:c r="G16" s="119"/>
      <x:c r="H16" s="119" t="str">
        <x:v>200002</x:v>
      </x:c>
      <x:c r="I16" s="118" t="n">
        <x:v>0</x:v>
      </x:c>
      <x:c r="J16" s="119" t="str">
        <x:v>plot:520825|record:620166</x:v>
      </x:c>
      <x:c r="K16" s="128" t="str">
        <x:v>系统文案需求表(4) 人物页面（详情页）!K3</x:v>
      </x:c>
    </x:row>
    <x:row r="17" ht="70" customHeight="1">
      <x:c r="A17" s="117"/>
      <x:c r="B17" s="118" t="n">
        <x:v>320500</x:v>
      </x:c>
      <x:c r="C17" s="119" t="str">
        <x:v>回声蓝初始资料</x:v>
      </x:c>
      <x:c r="D17" s="119" t="str">
        <x:v>info</x:v>
      </x:c>
      <x:c r="E17" s="119" t="str">
        <x:v>姓名：回声蓝
身份：医生
性别：女
年龄：30</x:v>
      </x:c>
      <x:c r="F17" s="119"/>
      <x:c r="G17" s="119"/>
      <x:c r="H17" s="119" t="str">
        <x:v>200005</x:v>
      </x:c>
      <x:c r="I17" s="118" t="n">
        <x:v>0</x:v>
      </x:c>
      <x:c r="J17" s="119" t="str">
        <x:v>event:920035</x:v>
      </x:c>
      <x:c r="K17" s="128" t="str">
        <x:v>系统文案需求表(4) 人物页面（详情页）；原字段组合排版，非单段原句</x:v>
      </x:c>
    </x:row>
    <x:row r="18" ht="34" customHeight="1">
      <x:c r="A18" s="117"/>
      <x:c r="B18" s="118" t="n">
        <x:v>320510</x:v>
      </x:c>
      <x:c r="C18" s="119" t="str">
        <x:v>回声蓝灵感1</x:v>
      </x:c>
      <x:c r="D18" s="119" t="str">
        <x:v>info</x:v>
      </x:c>
      <x:c r="E18" s="125" t="str">
        <x:v>公爵厌恶回声蓝</x:v>
      </x:c>
      <x:c r="F18" s="119"/>
      <x:c r="G18" s="119"/>
      <x:c r="H18" s="119" t="str">
        <x:v>200005</x:v>
      </x:c>
      <x:c r="I18" s="118" t="n">
        <x:v>0</x:v>
      </x:c>
      <x:c r="J18" s="119" t="str">
        <x:v>plot:520229|record:620009</x:v>
      </x:c>
      <x:c r="K18" s="128" t="str">
        <x:v>系统文案需求表(4) 人物页面（详情页）!F4</x:v>
      </x:c>
    </x:row>
    <x:row r="19" ht="34" customHeight="1">
      <x:c r="A19" s="117"/>
      <x:c r="B19" s="118" t="n">
        <x:v>320520</x:v>
      </x:c>
      <x:c r="C19" s="119" t="str">
        <x:v>回声蓝灵感2</x:v>
      </x:c>
      <x:c r="D19" s="119" t="str">
        <x:v>info</x:v>
      </x:c>
      <x:c r="E19" s="125" t="str">
        <x:v>回声蓝非常厌恶安东尼公爵</x:v>
      </x:c>
      <x:c r="F19" s="119"/>
      <x:c r="G19" s="119"/>
      <x:c r="H19" s="119" t="str">
        <x:v>200005</x:v>
      </x:c>
      <x:c r="I19" s="118" t="n">
        <x:v>0</x:v>
      </x:c>
      <x:c r="J19" s="119" t="str">
        <x:v>plot:520438|record:620020</x:v>
      </x:c>
      <x:c r="K19" s="128" t="str">
        <x:v>系统文案需求表(4) 人物页面（详情页）!H4</x:v>
      </x:c>
    </x:row>
    <x:row r="20" ht="34" customHeight="1">
      <x:c r="A20" s="117"/>
      <x:c r="B20" s="118" t="n">
        <x:v>320530</x:v>
      </x:c>
      <x:c r="C20" s="119" t="str">
        <x:v>回声蓝灵感3</x:v>
      </x:c>
      <x:c r="D20" s="119" t="str">
        <x:v>info</x:v>
      </x:c>
      <x:c r="E20" s="125" t="str">
        <x:v>科林提到，回声蓝近期没有写过任何信</x:v>
      </x:c>
      <x:c r="F20" s="119"/>
      <x:c r="G20" s="119"/>
      <x:c r="H20" s="119" t="str">
        <x:v>200005</x:v>
      </x:c>
      <x:c r="I20" s="118" t="n">
        <x:v>0</x:v>
      </x:c>
      <x:c r="J20" s="119" t="str">
        <x:v>plot:520420|record:620021</x:v>
      </x:c>
      <x:c r="K20" s="128" t="str">
        <x:v>系统文案需求表(4) 人物页面（详情页）!J4</x:v>
      </x:c>
    </x:row>
    <x:row r="21" ht="34" customHeight="1">
      <x:c r="A21" s="117"/>
      <x:c r="B21" s="118" t="n">
        <x:v>320540</x:v>
      </x:c>
      <x:c r="C21" s="119" t="str">
        <x:v>回声蓝灵感4</x:v>
      </x:c>
      <x:c r="D21" s="119" t="str">
        <x:v>info</x:v>
      </x:c>
      <x:c r="E21" s="125" t="str">
        <x:v>回声蓝似乎不在意公爵的死亡</x:v>
      </x:c>
      <x:c r="F21" s="119"/>
      <x:c r="G21" s="119"/>
      <x:c r="H21" s="119" t="str">
        <x:v>200005</x:v>
      </x:c>
      <x:c r="I21" s="118" t="n">
        <x:v>0</x:v>
      </x:c>
      <x:c r="J21" s="119" t="str">
        <x:v>plot:520740|record:620023</x:v>
      </x:c>
      <x:c r="K21" s="128" t="str">
        <x:v>系统文案需求表(4) 人物页面（详情页）!K4</x:v>
      </x:c>
    </x:row>
    <x:row r="22" ht="70" customHeight="1">
      <x:c r="A22" s="117"/>
      <x:c r="B22" s="118" t="n">
        <x:v>321800</x:v>
      </x:c>
      <x:c r="C22" s="119" t="str">
        <x:v>卡德初始资料</x:v>
      </x:c>
      <x:c r="D22" s="119" t="str">
        <x:v>info</x:v>
      </x:c>
      <x:c r="E22" s="119" t="str">
        <x:v>姓名：卡德
身份：皇家裁缝
性别：男
年龄：47</x:v>
      </x:c>
      <x:c r="F22" s="119"/>
      <x:c r="G22" s="119"/>
      <x:c r="H22" s="119" t="str">
        <x:v>200018</x:v>
      </x:c>
      <x:c r="I22" s="118" t="n">
        <x:v>0</x:v>
      </x:c>
      <x:c r="J22" s="119" t="str">
        <x:v>event:920036</x:v>
      </x:c>
      <x:c r="K22" s="128" t="str">
        <x:v>系统文案需求表(4) 人物页面（详情页）；原字段组合排版，非单段原句</x:v>
      </x:c>
    </x:row>
    <x:row r="23" ht="34" customHeight="1">
      <x:c r="A23" s="117"/>
      <x:c r="B23" s="118" t="n">
        <x:v>321810</x:v>
      </x:c>
      <x:c r="C23" s="119" t="str">
        <x:v>卡德灵感1</x:v>
      </x:c>
      <x:c r="D23" s="119" t="str">
        <x:v>info</x:v>
      </x:c>
      <x:c r="E23" s="125" t="str">
        <x:v>卡德与安东尼公爵交情匪浅</x:v>
      </x:c>
      <x:c r="F23" s="119"/>
      <x:c r="G23" s="119"/>
      <x:c r="H23" s="119" t="str">
        <x:v>200018</x:v>
      </x:c>
      <x:c r="I23" s="118" t="n">
        <x:v>0</x:v>
      </x:c>
      <x:c r="J23" s="119" t="str">
        <x:v>plot:520231|record:620009</x:v>
      </x:c>
      <x:c r="K23" s="128" t="str">
        <x:v>系统文案需求表(4) 人物页面（详情页）!F5</x:v>
      </x:c>
    </x:row>
    <x:row r="24" ht="34" customHeight="1">
      <x:c r="A24" s="120"/>
      <x:c r="B24" s="121" t="n">
        <x:v>321820</x:v>
      </x:c>
      <x:c r="C24" s="122" t="str">
        <x:v>卡德灵感2</x:v>
      </x:c>
      <x:c r="D24" s="122" t="str">
        <x:v>info</x:v>
      </x:c>
      <x:c r="E24" s="126" t="str">
        <x:v>卡德曾单独和你的伴手礼相处过</x:v>
      </x:c>
      <x:c r="F24" s="122"/>
      <x:c r="G24" s="122"/>
      <x:c r="H24" s="122" t="str">
        <x:v>200018</x:v>
      </x:c>
      <x:c r="I24" s="121" t="n">
        <x:v>0</x:v>
      </x:c>
      <x:c r="J24" s="122" t="str">
        <x:v>plot:520260|record:620012</x:v>
      </x:c>
      <x:c r="K24" s="129" t="str">
        <x:v>系统文案需求表(4) 人物页面（详情页）!H5</x:v>
      </x:c>
    </x:row>
    <x:row r="25" ht="34" customHeight="1">
      <x:c r="A25" s="120"/>
      <x:c r="B25" s="121" t="n">
        <x:v>321830</x:v>
      </x:c>
      <x:c r="C25" s="122" t="str">
        <x:v>卡德灵感3</x:v>
      </x:c>
      <x:c r="D25" s="122" t="str">
        <x:v>info</x:v>
      </x:c>
      <x:c r="E25" s="126" t="str">
        <x:v>很热情的皇室裁缝，为公爵夫妇制作了不少衣物</x:v>
      </x:c>
      <x:c r="F25" s="122"/>
      <x:c r="G25" s="122"/>
      <x:c r="H25" s="122" t="str">
        <x:v>200018</x:v>
      </x:c>
      <x:c r="I25" s="121" t="n">
        <x:v>0</x:v>
      </x:c>
      <x:c r="J25" s="122" t="str">
        <x:v>plot:520474|event:920036|record:620135</x:v>
      </x:c>
      <x:c r="K25" s="129" t="str">
        <x:v>系统文案需求表(4) 人物页面（详情页）!J5</x:v>
      </x:c>
    </x:row>
    <x:row r="26" ht="34" hidden="0" customHeight="1">
      <x:c r="A26" s="120"/>
      <x:c r="B26" s="121" t="n">
        <x:v>321840</x:v>
      </x:c>
      <x:c r="C26" s="122" t="str">
        <x:v>卡德灵感4</x:v>
      </x:c>
      <x:c r="D26" s="122" t="str">
        <x:v>info</x:v>
      </x:c>
      <x:c r="E26" s="126" t="str">
        <x:v>卡德对于公爵的死无法接受，并认为是夫人杀害了公爵</x:v>
      </x:c>
      <x:c r="F26" s="122"/>
      <x:c r="G26" s="122"/>
      <x:c r="H26" s="122" t="str">
        <x:v>200018</x:v>
      </x:c>
      <x:c r="I26" s="121" t="n">
        <x:v>0</x:v>
      </x:c>
      <x:c r="J26" s="122" t="str">
        <x:v>plot:520727|record:620022</x:v>
      </x:c>
      <x:c r="K26" s="129" t="str">
        <x:v>系统文案需求表(4) 人物页面（详情页）!K5</x:v>
      </x:c>
    </x:row>
    <x:row r="27" ht="34" hidden="0" customHeight="1">
      <x:c r="A27" s="120"/>
      <x:c r="B27" s="121" t="n">
        <x:v>321850</x:v>
      </x:c>
      <x:c r="C27" s="122" t="str">
        <x:v>卡德灵感5</x:v>
      </x:c>
      <x:c r="D27" s="122" t="str">
        <x:v>info</x:v>
      </x:c>
      <x:c r="E27" s="126" t="str">
        <x:v>卡德认为是阿塔梅和回声蓝杀害了安东尼</x:v>
      </x:c>
      <x:c r="F27" s="122"/>
      <x:c r="G27" s="122"/>
      <x:c r="H27" s="122" t="str">
        <x:v>200018</x:v>
      </x:c>
      <x:c r="I27" s="121" t="n">
        <x:v>0</x:v>
      </x:c>
      <x:c r="J27" s="122" t="str">
        <x:v>plot:520719|record:620022</x:v>
      </x:c>
      <x:c r="K27" s="129" t="str">
        <x:v>系统文案需求表(4) 人物页面（详情页）!L5</x:v>
      </x:c>
    </x:row>
    <x:row r="28" ht="70" hidden="0" customHeight="1">
      <x:c r="A28" s="120"/>
      <x:c r="B28" s="121" t="n">
        <x:v>320700</x:v>
      </x:c>
      <x:c r="C28" s="122" t="str">
        <x:v>莫伊帕初始资料</x:v>
      </x:c>
      <x:c r="D28" s="122" t="str">
        <x:v>info</x:v>
      </x:c>
      <x:c r="E28" s="122" t="str">
        <x:v>姓名：莫伊帕
身份：香槟酒商
性别：男
年龄：46</x:v>
      </x:c>
      <x:c r="F28" s="122"/>
      <x:c r="G28" s="122"/>
      <x:c r="H28" s="122" t="str">
        <x:v>200007</x:v>
      </x:c>
      <x:c r="I28" s="121" t="n">
        <x:v>0</x:v>
      </x:c>
      <x:c r="J28" s="122" t="str">
        <x:v>event:920028</x:v>
      </x:c>
      <x:c r="K28" s="129" t="str">
        <x:v>系统文案需求表(4) 人物页面（详情页）；原字段组合排版，非单段原句</x:v>
      </x:c>
    </x:row>
    <x:row r="29" ht="34" customHeight="1">
      <x:c r="A29" s="120"/>
      <x:c r="B29" s="121" t="n">
        <x:v>320710</x:v>
      </x:c>
      <x:c r="C29" s="122" t="str">
        <x:v>莫伊帕灵感1</x:v>
      </x:c>
      <x:c r="D29" s="122" t="str">
        <x:v>info</x:v>
      </x:c>
      <x:c r="E29" s="126" t="str">
        <x:v>莫伊帕与画家维里诺关系匪浅</x:v>
      </x:c>
      <x:c r="F29" s="122"/>
      <x:c r="G29" s="122"/>
      <x:c r="H29" s="122" t="str">
        <x:v>200007</x:v>
      </x:c>
      <x:c r="I29" s="121" t="n">
        <x:v>0</x:v>
      </x:c>
      <x:c r="J29" s="122" t="str">
        <x:v>plot:520198|record:620006</x:v>
      </x:c>
      <x:c r="K29" s="129" t="str">
        <x:v>系统文案需求表(4) 人物页面（详情页）!F6</x:v>
      </x:c>
    </x:row>
    <x:row r="30" ht="40" customHeight="1">
      <x:c r="A30" s="120"/>
      <x:c r="B30" s="121" t="n">
        <x:v>320720</x:v>
      </x:c>
      <x:c r="C30" s="122" t="str">
        <x:v>莫伊帕灵感2</x:v>
      </x:c>
      <x:c r="D30" s="122" t="str">
        <x:v>info</x:v>
      </x:c>
      <x:c r="E30" s="122" t="str">
        <x:v>公爵似乎曾向莫伊帕求助</x:v>
      </x:c>
      <x:c r="F30" s="122"/>
      <x:c r="G30" s="122"/>
      <x:c r="H30" s="122" t="str">
        <x:v>200007</x:v>
      </x:c>
      <x:c r="I30" s="121" t="n">
        <x:v>0</x:v>
      </x:c>
      <x:c r="J30" s="122" t="str">
        <x:v>plot:520308|record:620127</x:v>
      </x:c>
      <x:c r="K30" s="129" t="str">
        <x:v>程序说明补写（非文案原句）；依据现有配置及已确认交互。依文末求助剧情同步概述。</x:v>
      </x:c>
    </x:row>
    <x:row r="31" ht="34" customHeight="1">
      <x:c r="A31" s="120"/>
      <x:c r="B31" s="121" t="n">
        <x:v>320730</x:v>
      </x:c>
      <x:c r="C31" s="122" t="str">
        <x:v>莫伊帕灵感3</x:v>
      </x:c>
      <x:c r="D31" s="122" t="str">
        <x:v>info</x:v>
      </x:c>
      <x:c r="E31" s="126" t="str">
        <x:v>莫伊帕与阿塔梅有频繁生意往来</x:v>
      </x:c>
      <x:c r="F31" s="122"/>
      <x:c r="G31" s="122"/>
      <x:c r="H31" s="122" t="str">
        <x:v>200007</x:v>
      </x:c>
      <x:c r="I31" s="121" t="n">
        <x:v>0</x:v>
      </x:c>
      <x:c r="J31" s="122" t="str">
        <x:v>plot:520368|record:620131</x:v>
      </x:c>
      <x:c r="K31" s="129" t="str">
        <x:v>系统文案需求表(4) 人物页面（详情页）!J6</x:v>
      </x:c>
    </x:row>
    <x:row r="32" ht="34" customHeight="1">
      <x:c r="A32" s="120"/>
      <x:c r="B32" s="121" t="n">
        <x:v>320740</x:v>
      </x:c>
      <x:c r="C32" s="122" t="str">
        <x:v>莫伊帕灵感4</x:v>
      </x:c>
      <x:c r="D32" s="122" t="str">
        <x:v>info</x:v>
      </x:c>
      <x:c r="E32" s="126" t="str">
        <x:v>莫伊帕近期借给公爵一大笔财产</x:v>
      </x:c>
      <x:c r="F32" s="122"/>
      <x:c r="G32" s="122"/>
      <x:c r="H32" s="122" t="str">
        <x:v>200007</x:v>
      </x:c>
      <x:c r="I32" s="121" t="n">
        <x:v>0</x:v>
      </x:c>
      <x:c r="J32" s="122" t="str">
        <x:v>plot:520783|record:620163</x:v>
      </x:c>
      <x:c r="K32" s="129" t="str">
        <x:v>系统文案需求表(4) 人物页面（详情页）!K6</x:v>
      </x:c>
    </x:row>
    <x:row r="33" ht="70" hidden="0" customHeight="1">
      <x:c r="A33" s="120"/>
      <x:c r="B33" s="121" t="n">
        <x:v>320400</x:v>
      </x:c>
      <x:c r="C33" s="122" t="str">
        <x:v>科林初始资料</x:v>
      </x:c>
      <x:c r="D33" s="122" t="str">
        <x:v>info</x:v>
      </x:c>
      <x:c r="E33" s="122" t="str">
        <x:v>姓名：科林
身份：病人
性别：男
年龄：10</x:v>
      </x:c>
      <x:c r="F33" s="122"/>
      <x:c r="G33" s="122"/>
      <x:c r="H33" s="122" t="str">
        <x:v>200004</x:v>
      </x:c>
      <x:c r="I33" s="121" t="n">
        <x:v>0</x:v>
      </x:c>
      <x:c r="J33" s="122" t="str">
        <x:v>event:920012</x:v>
      </x:c>
      <x:c r="K33" s="129" t="str">
        <x:v>系统文案需求表(4) 人物页面（详情页）；原字段组合排版，非单段原句</x:v>
      </x:c>
    </x:row>
    <x:row r="34" ht="34" customHeight="1">
      <x:c r="A34" s="120"/>
      <x:c r="B34" s="121" t="n">
        <x:v>320410</x:v>
      </x:c>
      <x:c r="C34" s="122" t="str">
        <x:v>科林灵感1</x:v>
      </x:c>
      <x:c r="D34" s="122" t="str">
        <x:v>info</x:v>
      </x:c>
      <x:c r="E34" s="126" t="str">
        <x:v>科林与女佣们的关系不错</x:v>
      </x:c>
      <x:c r="F34" s="122"/>
      <x:c r="G34" s="122"/>
      <x:c r="H34" s="122" t="str">
        <x:v>200004</x:v>
      </x:c>
      <x:c r="I34" s="121" t="n">
        <x:v>0</x:v>
      </x:c>
      <x:c r="J34" s="122" t="str">
        <x:v>plot:520152|record:620111</x:v>
      </x:c>
      <x:c r="K34" s="129" t="str">
        <x:v>系统文案需求表(4) 人物页面（详情页）!F7</x:v>
      </x:c>
    </x:row>
    <x:row r="35" ht="34" hidden="0" customHeight="1">
      <x:c r="A35" s="120"/>
      <x:c r="B35" s="121" t="n">
        <x:v>320420</x:v>
      </x:c>
      <x:c r="C35" s="122" t="str">
        <x:v>科林灵感2</x:v>
      </x:c>
      <x:c r="D35" s="122" t="str">
        <x:v>info</x:v>
      </x:c>
      <x:c r="E35" s="126" t="str">
        <x:v>科林有些嗜睡</x:v>
      </x:c>
      <x:c r="F35" s="122"/>
      <x:c r="G35" s="122"/>
      <x:c r="H35" s="122" t="str">
        <x:v>200004</x:v>
      </x:c>
      <x:c r="I35" s="121" t="n">
        <x:v>0</x:v>
      </x:c>
      <x:c r="J35" s="122" t="str">
        <x:v>plot:520357|record:620130</x:v>
      </x:c>
      <x:c r="K35" s="129" t="str">
        <x:v>系统文案需求表(4) 人物页面（详情页）!H7</x:v>
      </x:c>
    </x:row>
    <x:row r="36" ht="34" hidden="0" customHeight="1">
      <x:c r="A36" s="120"/>
      <x:c r="B36" s="121" t="n">
        <x:v>320421</x:v>
      </x:c>
      <x:c r="C36" s="122" t="str">
        <x:v>科林灵感2-1</x:v>
      </x:c>
      <x:c r="D36" s="122" t="str">
        <x:v>info</x:v>
      </x:c>
      <x:c r="E36" s="126" t="str">
        <x:v>科林患有嗜睡性脑炎</x:v>
      </x:c>
      <x:c r="F36" s="122"/>
      <x:c r="G36" s="122"/>
      <x:c r="H36" s="122" t="str">
        <x:v>200004</x:v>
      </x:c>
      <x:c r="I36" s="121" t="n">
        <x:v>0</x:v>
      </x:c>
      <x:c r="J36" s="122" t="str">
        <x:v>plot:520445|record:620020</x:v>
      </x:c>
      <x:c r="K36" s="129" t="str">
        <x:v>系统文案需求表(4) 人物页面（详情页）!I7</x:v>
      </x:c>
    </x:row>
    <x:row r="37" ht="34" customHeight="1">
      <x:c r="A37" s="120"/>
      <x:c r="B37" s="121" t="n">
        <x:v>320430</x:v>
      </x:c>
      <x:c r="C37" s="122" t="str">
        <x:v>科林灵感3</x:v>
      </x:c>
      <x:c r="D37" s="122" t="str">
        <x:v>info</x:v>
      </x:c>
      <x:c r="E37" s="126" t="str">
        <x:v>科林几乎一直和回声蓝在一起</x:v>
      </x:c>
      <x:c r="F37" s="122"/>
      <x:c r="G37" s="122"/>
      <x:c r="H37" s="122" t="str">
        <x:v>200004</x:v>
      </x:c>
      <x:c r="I37" s="121" t="n">
        <x:v>0</x:v>
      </x:c>
      <x:c r="J37" s="122" t="str">
        <x:v>plot:520412|record:620021</x:v>
      </x:c>
      <x:c r="K37" s="129" t="str">
        <x:v>系统文案需求表(4) 人物页面（详情页）!J7</x:v>
      </x:c>
    </x:row>
    <x:row r="38" ht="34" customHeight="1">
      <x:c r="A38" s="120"/>
      <x:c r="B38" s="121" t="n">
        <x:v>320440</x:v>
      </x:c>
      <x:c r="C38" s="122" t="str">
        <x:v>科林灵感4</x:v>
      </x:c>
      <x:c r="D38" s="122" t="str">
        <x:v>info</x:v>
      </x:c>
      <x:c r="E38" s="126" t="str">
        <x:v>科林认为回声蓝是对自己最好的人</x:v>
      </x:c>
      <x:c r="F38" s="122"/>
      <x:c r="G38" s="122"/>
      <x:c r="H38" s="122" t="str">
        <x:v>200004</x:v>
      </x:c>
      <x:c r="I38" s="121" t="n">
        <x:v>0</x:v>
      </x:c>
      <x:c r="J38" s="122" t="str">
        <x:v>plot:520416|record:620021</x:v>
      </x:c>
      <x:c r="K38" s="129" t="str">
        <x:v>系统文案需求表(4) 人物页面（详情页）!K7</x:v>
      </x:c>
    </x:row>
    <x:row r="39" ht="70" customHeight="1">
      <x:c r="A39" s="120"/>
      <x:c r="B39" s="121" t="n">
        <x:v>320600</x:v>
      </x:c>
      <x:c r="C39" s="122" t="str">
        <x:v>维里诺初始资料</x:v>
      </x:c>
      <x:c r="D39" s="122" t="str">
        <x:v>info</x:v>
      </x:c>
      <x:c r="E39" s="122" t="str">
        <x:v>姓名：维里诺
身份：画家
性别：男
年龄：19</x:v>
      </x:c>
      <x:c r="F39" s="122"/>
      <x:c r="G39" s="122"/>
      <x:c r="H39" s="122" t="str">
        <x:v>200006</x:v>
      </x:c>
      <x:c r="I39" s="121" t="n">
        <x:v>0</x:v>
      </x:c>
      <x:c r="J39" s="122" t="str">
        <x:v>event:920028</x:v>
      </x:c>
      <x:c r="K39" s="129" t="str">
        <x:v>系统文案需求表(4) 人物页面（详情页）；原字段组合排版，非单段原句</x:v>
      </x:c>
    </x:row>
    <x:row r="40" ht="34" customHeight="1">
      <x:c r="A40" s="120"/>
      <x:c r="B40" s="121" t="n">
        <x:v>320610</x:v>
      </x:c>
      <x:c r="C40" s="122" t="str">
        <x:v>维里诺灵感1</x:v>
      </x:c>
      <x:c r="D40" s="122" t="str">
        <x:v>info</x:v>
      </x:c>
      <x:c r="E40" s="126" t="str">
        <x:v>维里诺曾在一月六日单独与你的伴手礼相处过</x:v>
      </x:c>
      <x:c r="F40" s="122"/>
      <x:c r="G40" s="122"/>
      <x:c r="H40" s="122" t="str">
        <x:v>200006</x:v>
      </x:c>
      <x:c r="I40" s="121" t="n">
        <x:v>0</x:v>
      </x:c>
      <x:c r="J40" s="122" t="str">
        <x:v>plot:520207|record:620007</x:v>
      </x:c>
      <x:c r="K40" s="129" t="str">
        <x:v>系统文案需求表(4) 人物页面（详情页）!F8</x:v>
      </x:c>
    </x:row>
    <x:row r="41" ht="34" customHeight="1">
      <x:c r="A41" s="120"/>
      <x:c r="B41" s="121" t="n">
        <x:v>320620</x:v>
      </x:c>
      <x:c r="C41" s="122" t="str">
        <x:v>维里诺灵感2</x:v>
      </x:c>
      <x:c r="D41" s="122" t="str">
        <x:v>info</x:v>
      </x:c>
      <x:c r="E41" s="126" t="str">
        <x:v>维里诺与酒商莫伊帕在宴会前就关系匪浅</x:v>
      </x:c>
      <x:c r="F41" s="122"/>
      <x:c r="G41" s="122"/>
      <x:c r="H41" s="122" t="str">
        <x:v>200006</x:v>
      </x:c>
      <x:c r="I41" s="121" t="n">
        <x:v>0</x:v>
      </x:c>
      <x:c r="J41" s="122" t="str">
        <x:v>plot:520198|record:620006</x:v>
      </x:c>
      <x:c r="K41" s="129" t="str">
        <x:v>系统文案需求表(4) 人物页面（详情页）!H8</x:v>
      </x:c>
    </x:row>
    <x:row r="42" ht="34" customHeight="1">
      <x:c r="A42" s="120"/>
      <x:c r="B42" s="121" t="n">
        <x:v>320630</x:v>
      </x:c>
      <x:c r="C42" s="122" t="str">
        <x:v>维里诺灵感3</x:v>
      </x:c>
      <x:c r="D42" s="122" t="str">
        <x:v>info</x:v>
      </x:c>
      <x:c r="E42" s="126" t="str">
        <x:v>维里诺曾听过你写的歌</x:v>
      </x:c>
      <x:c r="F42" s="122"/>
      <x:c r="G42" s="122"/>
      <x:c r="H42" s="122" t="str">
        <x:v>200006</x:v>
      </x:c>
      <x:c r="I42" s="121" t="n">
        <x:v>0</x:v>
      </x:c>
      <x:c r="J42" s="122" t="str">
        <x:v>plot:520294|record:620127</x:v>
      </x:c>
      <x:c r="K42" s="129" t="str">
        <x:v>系统文案需求表(4) 人物页面（详情页）!J8</x:v>
      </x:c>
    </x:row>
    <x:row r="43" ht="34" hidden="0" customHeight="1">
      <x:c r="A43" s="120"/>
      <x:c r="B43" s="121" t="n">
        <x:v>320640</x:v>
      </x:c>
      <x:c r="C43" s="122" t="str">
        <x:v>维里诺灵感4</x:v>
      </x:c>
      <x:c r="D43" s="122" t="str">
        <x:v>info</x:v>
      </x:c>
      <x:c r="E43" s="126" t="str">
        <x:v>维里诺与米娅关系不错</x:v>
      </x:c>
      <x:c r="F43" s="122"/>
      <x:c r="G43" s="122"/>
      <x:c r="H43" s="122" t="str">
        <x:v>200006</x:v>
      </x:c>
      <x:c r="I43" s="121" t="n">
        <x:v>0</x:v>
      </x:c>
      <x:c r="J43" s="122" t="str">
        <x:v>plot:520317|record:620127</x:v>
      </x:c>
      <x:c r="K43" s="129" t="str">
        <x:v>系统文案需求表(4) 人物页面（详情页）!K8</x:v>
      </x:c>
    </x:row>
    <x:row r="44" ht="34" hidden="0" customHeight="1">
      <x:c r="A44" s="120"/>
      <x:c r="B44" s="121" t="n">
        <x:v>320650</x:v>
      </x:c>
      <x:c r="C44" s="122" t="str">
        <x:v>维里诺灵感5</x:v>
      </x:c>
      <x:c r="D44" s="122" t="str">
        <x:v>info</x:v>
      </x:c>
      <x:c r="E44" s="126" t="str">
        <x:v>维里诺的幼年经历似乎并不算美满</x:v>
      </x:c>
      <x:c r="F44" s="122"/>
      <x:c r="G44" s="122"/>
      <x:c r="H44" s="122" t="str">
        <x:v>200006</x:v>
      </x:c>
      <x:c r="I44" s="121" t="n">
        <x:v>0</x:v>
      </x:c>
      <x:c r="J44" s="122" t="str">
        <x:v>plot:520624|record:620148</x:v>
      </x:c>
      <x:c r="K44" s="129" t="str">
        <x:v>系统文案需求表(4) 人物页面（详情页）!L8</x:v>
      </x:c>
    </x:row>
    <x:row r="45" ht="34" hidden="0" customHeight="1">
      <x:c r="A45" s="120"/>
      <x:c r="B45" s="121" t="n">
        <x:v>320660</x:v>
      </x:c>
      <x:c r="C45" s="122" t="str">
        <x:v>维里诺灵感6</x:v>
      </x:c>
      <x:c r="D45" s="122" t="str">
        <x:v>info</x:v>
      </x:c>
      <x:c r="E45" s="126" t="str">
        <x:v>维里诺认为公爵十分滥情，或许有私生子的存在</x:v>
      </x:c>
      <x:c r="F45" s="122"/>
      <x:c r="G45" s="122"/>
      <x:c r="H45" s="122" t="str">
        <x:v>200006</x:v>
      </x:c>
      <x:c r="I45" s="121" t="n">
        <x:v>0</x:v>
      </x:c>
      <x:c r="J45" s="122" t="str">
        <x:v>plot:520753|record:620030</x:v>
      </x:c>
      <x:c r="K45" s="129" t="str">
        <x:v>人物路径(1)对应维里诺灵感6；按该文档明确描述配置</x:v>
      </x:c>
    </x:row>
    <x:row r="46" ht="34" hidden="0" customHeight="1">
      <x:c r="A46" s="120"/>
      <x:c r="B46" s="121" t="n">
        <x:v>320670</x:v>
      </x:c>
      <x:c r="C46" s="122" t="str">
        <x:v>维里诺灵感7</x:v>
      </x:c>
      <x:c r="D46" s="122" t="str">
        <x:v>info</x:v>
      </x:c>
      <x:c r="E46" s="126" t="str">
        <x:v>维里诺和古堡的佣人关系都不错</x:v>
      </x:c>
      <x:c r="F46" s="122"/>
      <x:c r="G46" s="122"/>
      <x:c r="H46" s="122" t="str">
        <x:v>200006</x:v>
      </x:c>
      <x:c r="I46" s="121" t="n">
        <x:v>0</x:v>
      </x:c>
      <x:c r="J46" s="122" t="str">
        <x:v>plot:520836|record:620166</x:v>
      </x:c>
      <x:c r="K46" s="129" t="str">
        <x:v>系统文案需求表(4) 人物页面（详情页）!N8</x:v>
      </x:c>
    </x:row>
    <x:row r="47" ht="34" customHeight="1">
      <x:c r="A47" s="120"/>
      <x:c r="B47" s="121" t="n">
        <x:v>320671</x:v>
      </x:c>
      <x:c r="C47" s="122" t="str">
        <x:v>维里诺灵感7-1</x:v>
      </x:c>
      <x:c r="D47" s="122" t="str">
        <x:v>info</x:v>
      </x:c>
      <x:c r="E47" s="126" t="str">
        <x:v>维里诺幼年曾在古堡生活过一段时间</x:v>
      </x:c>
      <x:c r="F47" s="122"/>
      <x:c r="G47" s="122"/>
      <x:c r="H47" s="122" t="str">
        <x:v>200006</x:v>
      </x:c>
      <x:c r="I47" s="121" t="n">
        <x:v>0</x:v>
      </x:c>
      <x:c r="J47" s="122" t="str">
        <x:v>plot:520840|record:620167</x:v>
      </x:c>
      <x:c r="K47" s="129" t="str">
        <x:v>系统文案需求表(4) 人物页面（详情页）!O8</x:v>
      </x:c>
    </x:row>
    <x:row r="48" ht="40" hidden="0" customHeight="1">
      <x:c r="A48" s="120"/>
      <x:c r="B48" s="121" t="n">
        <x:v>320672</x:v>
      </x:c>
      <x:c r="C48" s="122" t="str">
        <x:v>维里诺灵感7-2</x:v>
      </x:c>
      <x:c r="D48" s="122" t="str">
        <x:v>info</x:v>
      </x:c>
      <x:c r="E48" s="126" t="str">
        <x:v>维里诺幼年曾在古堡生活过一段时间，且母亲是古堡佣人玛丽</x:v>
      </x:c>
      <x:c r="F48" s="122"/>
      <x:c r="G48" s="122"/>
      <x:c r="H48" s="122" t="str">
        <x:v>200006</x:v>
      </x:c>
      <x:c r="I48" s="121" t="n">
        <x:v>0</x:v>
      </x:c>
      <x:c r="J48" s="122" t="str">
        <x:v>record:620026|plot:521078|event:920096|record:620024|record:620192</x:v>
      </x:c>
      <x:c r="K48" s="129" t="str">
        <x:v>系统文案需求表(4) 人物页面（详情页）!P8</x:v>
      </x:c>
    </x:row>
    <x:row r="49" ht="34" hidden="0" customHeight="1">
      <x:c r="A49" s="120"/>
      <x:c r="B49" s="121" t="n">
        <x:v>320680</x:v>
      </x:c>
      <x:c r="C49" s="122" t="str">
        <x:v>维里诺灵感8</x:v>
      </x:c>
      <x:c r="D49" s="122" t="str">
        <x:v>info</x:v>
      </x:c>
      <x:c r="E49" s="126" t="str">
        <x:v>维里诺早在宴会前就得知了你的需求</x:v>
      </x:c>
      <x:c r="F49" s="122"/>
      <x:c r="G49" s="122"/>
      <x:c r="H49" s="122" t="str">
        <x:v>200006</x:v>
      </x:c>
      <x:c r="I49" s="121" t="n">
        <x:v>0</x:v>
      </x:c>
      <x:c r="J49" s="122" t="str">
        <x:v>record:620025|puzzle:720030</x:v>
      </x:c>
      <x:c r="K49" s="129" t="str">
        <x:v>系统文案需求表(4) 人物页面（详情页）!Q8</x:v>
      </x:c>
    </x:row>
    <x:row r="50" ht="70" customHeight="1">
      <x:c r="A50" s="120"/>
      <x:c r="B50" s="121" t="n">
        <x:v>320900</x:v>
      </x:c>
      <x:c r="C50" s="122" t="str">
        <x:v>安东尼初始资料</x:v>
      </x:c>
      <x:c r="D50" s="122" t="str">
        <x:v>info</x:v>
      </x:c>
      <x:c r="E50" s="122" t="str">
        <x:v>姓名：安东尼
身份：劳里耶古堡公爵
性别：男
年龄：42</x:v>
      </x:c>
      <x:c r="F50" s="122"/>
      <x:c r="G50" s="122"/>
      <x:c r="H50" s="122" t="str">
        <x:v>200009</x:v>
      </x:c>
      <x:c r="I50" s="121" t="n">
        <x:v>0</x:v>
      </x:c>
      <x:c r="J50" s="122" t="str">
        <x:v>event:920039</x:v>
      </x:c>
      <x:c r="K50" s="129" t="str">
        <x:v>系统文案需求表(4) 人物页面（详情页）；原字段组合排版，非单段原句</x:v>
      </x:c>
    </x:row>
    <x:row r="51" ht="34" hidden="0" customHeight="1">
      <x:c r="A51" s="120"/>
      <x:c r="B51" s="121" t="n">
        <x:v>320910</x:v>
      </x:c>
      <x:c r="C51" s="122" t="str">
        <x:v>安东尼灵感1</x:v>
      </x:c>
      <x:c r="D51" s="122" t="str">
        <x:v>info</x:v>
      </x:c>
      <x:c r="E51" s="126" t="str">
        <x:v>古堡需偿还债务</x:v>
      </x:c>
      <x:c r="F51" s="122"/>
      <x:c r="G51" s="122"/>
      <x:c r="H51" s="122" t="str">
        <x:v>200009</x:v>
      </x:c>
      <x:c r="I51" s="121" t="n">
        <x:v>0</x:v>
      </x:c>
      <x:c r="J51" s="122" t="str">
        <x:v>plot:520194|record:620005</x:v>
      </x:c>
      <x:c r="K51" s="129" t="str">
        <x:v>系统文案需求表(4) 人物页面（详情页）!F9</x:v>
      </x:c>
    </x:row>
    <x:row r="52" ht="40" customHeight="1">
      <x:c r="A52" s="120"/>
      <x:c r="B52" s="121" t="n">
        <x:v>320911</x:v>
      </x:c>
      <x:c r="C52" s="122" t="str">
        <x:v>安东尼灵感1-1</x:v>
      </x:c>
      <x:c r="D52" s="122" t="str">
        <x:v>info</x:v>
      </x:c>
      <x:c r="E52" s="126" t="str">
        <x:v>古堡因安东尼的挥霍，需偿还大量债务</x:v>
      </x:c>
      <x:c r="F52" s="122"/>
      <x:c r="G52" s="122"/>
      <x:c r="H52" s="122" t="str">
        <x:v>200009</x:v>
      </x:c>
      <x:c r="I52" s="121" t="n">
        <x:v>0</x:v>
      </x:c>
      <x:c r="J52" s="122" t="str">
        <x:v>puzzle:720010|plot:520194|record:620005|plot:520239|record:620010</x:v>
      </x:c>
      <x:c r="K52" s="129" t="str">
        <x:v>系统文案需求表(4) 人物页面（详情页）!G9</x:v>
      </x:c>
    </x:row>
    <x:row r="53" ht="34" hidden="0" customHeight="1">
      <x:c r="A53" s="120"/>
      <x:c r="B53" s="121" t="n">
        <x:v>320920</x:v>
      </x:c>
      <x:c r="C53" s="122" t="str">
        <x:v>安东尼灵感2</x:v>
      </x:c>
      <x:c r="D53" s="122" t="str">
        <x:v>info</x:v>
      </x:c>
      <x:c r="E53" s="126" t="str">
        <x:v>公爵近期在娱乐上挥霍无度</x:v>
      </x:c>
      <x:c r="F53" s="122"/>
      <x:c r="G53" s="122"/>
      <x:c r="H53" s="122" t="str">
        <x:v>200009</x:v>
      </x:c>
      <x:c r="I53" s="121" t="n">
        <x:v>0</x:v>
      </x:c>
      <x:c r="J53" s="122" t="str">
        <x:v>plot:520265|record:620013</x:v>
      </x:c>
      <x:c r="K53" s="129" t="str">
        <x:v>系统文案需求表(4) 人物页面（详情页）!H9</x:v>
      </x:c>
    </x:row>
    <x:row r="54" ht="40" customHeight="1">
      <x:c r="A54" s="120"/>
      <x:c r="B54" s="121" t="n">
        <x:v>320930</x:v>
      </x:c>
      <x:c r="C54" s="122" t="str">
        <x:v>安东尼灵感3</x:v>
      </x:c>
      <x:c r="D54" s="122" t="str">
        <x:v>info</x:v>
      </x:c>
      <x:c r="E54" s="126" t="str">
        <x:v>公爵近期私自购买了一批酒</x:v>
      </x:c>
      <x:c r="F54" s="122"/>
      <x:c r="G54" s="122"/>
      <x:c r="H54" s="122" t="str">
        <x:v>200009</x:v>
      </x:c>
      <x:c r="I54" s="121" t="n">
        <x:v>0</x:v>
      </x:c>
      <x:c r="J54" s="122"/>
      <x:c r="K54" s="129" t="str">
        <x:v>系统文案需求表(4) 人物页面（详情页）!J9；本版不发放、不作为前置</x:v>
      </x:c>
    </x:row>
    <x:row r="55" ht="34" customHeight="1">
      <x:c r="A55" s="120"/>
      <x:c r="B55" s="121" t="n">
        <x:v>320940</x:v>
      </x:c>
      <x:c r="C55" s="122" t="str">
        <x:v>安东尼灵感4</x:v>
      </x:c>
      <x:c r="D55" s="122" t="str">
        <x:v>info</x:v>
      </x:c>
      <x:c r="E55" s="126" t="str">
        <x:v>公爵私下以阿塔梅的名义向莫伊帕借取一大笔财产</x:v>
      </x:c>
      <x:c r="F55" s="122"/>
      <x:c r="G55" s="122"/>
      <x:c r="H55" s="122" t="str">
        <x:v>200009</x:v>
      </x:c>
      <x:c r="I55" s="121" t="n">
        <x:v>0</x:v>
      </x:c>
      <x:c r="J55" s="122" t="str">
        <x:v>plot:520783|record:620163</x:v>
      </x:c>
      <x:c r="K55" s="129" t="str">
        <x:v>系统文案需求表(4) 人物页面（详情页）!K9</x:v>
      </x:c>
    </x:row>
    <x:row r="56" ht="34" customHeight="1">
      <x:c r="A56" s="120"/>
      <x:c r="B56" s="121" t="n">
        <x:v>320950</x:v>
      </x:c>
      <x:c r="C56" s="122" t="str">
        <x:v>安东尼灵感5</x:v>
      </x:c>
      <x:c r="D56" s="122" t="str">
        <x:v>info</x:v>
      </x:c>
      <x:c r="E56" s="126" t="str">
        <x:v>公爵因未知事务曾回到家族宅邸</x:v>
      </x:c>
      <x:c r="F56" s="122"/>
      <x:c r="G56" s="122"/>
      <x:c r="H56" s="122" t="str">
        <x:v>200009</x:v>
      </x:c>
      <x:c r="I56" s="121" t="n">
        <x:v>0</x:v>
      </x:c>
      <x:c r="J56" s="122" t="str">
        <x:v>plot:520213|record:620008</x:v>
      </x:c>
      <x:c r="K56" s="129" t="str">
        <x:v>系统文案需求表(4) 人物页面（详情页）!L9</x:v>
      </x:c>
    </x:row>
    <x:row r="57" ht="34" customHeight="1">
      <x:c r="A57" s="120"/>
      <x:c r="B57" s="121" t="n">
        <x:v>320960</x:v>
      </x:c>
      <x:c r="C57" s="122" t="str">
        <x:v>安东尼灵感6</x:v>
      </x:c>
      <x:c r="D57" s="122" t="str">
        <x:v>info</x:v>
      </x:c>
      <x:c r="E57" s="126" t="str">
        <x:v>据回声蓝所说，似乎是被人用锐器杀害</x:v>
      </x:c>
      <x:c r="F57" s="122"/>
      <x:c r="G57" s="122"/>
      <x:c r="H57" s="122" t="str">
        <x:v>200009</x:v>
      </x:c>
      <x:c r="I57" s="121" t="n">
        <x:v>0</x:v>
      </x:c>
      <x:c r="J57" s="122" t="str">
        <x:v>plot:520729|record:620023</x:v>
      </x:c>
      <x:c r="K57" s="129" t="str">
        <x:v>系统文案需求表(4) 人物页面（详情页）!M9</x:v>
      </x:c>
    </x:row>
    <x:row r="58" ht="70" customHeight="1">
      <x:c r="A58" s="120"/>
      <x:c r="B58" s="121" t="n">
        <x:v>320800</x:v>
      </x:c>
      <x:c r="C58" s="122" t="str">
        <x:v>阿塔梅初始资料</x:v>
      </x:c>
      <x:c r="D58" s="122" t="str">
        <x:v>info</x:v>
      </x:c>
      <x:c r="E58" s="122" t="str">
        <x:v>姓名：阿塔梅
身份：劳里耶古堡公爵夫人
性别：女
年龄：35</x:v>
      </x:c>
      <x:c r="F58" s="122"/>
      <x:c r="G58" s="122"/>
      <x:c r="H58" s="122" t="str">
        <x:v>200008</x:v>
      </x:c>
      <x:c r="I58" s="121" t="n">
        <x:v>0</x:v>
      </x:c>
      <x:c r="J58" s="122" t="str">
        <x:v>event:920039</x:v>
      </x:c>
      <x:c r="K58" s="129" t="str">
        <x:v>系统文案需求表(4) 人物页面（详情页）；原字段组合排版，非单段原句</x:v>
      </x:c>
    </x:row>
    <x:row r="59" ht="40" customHeight="1">
      <x:c r="A59" s="120"/>
      <x:c r="B59" s="121" t="n">
        <x:v>320810</x:v>
      </x:c>
      <x:c r="C59" s="122" t="str">
        <x:v>阿塔梅灵感1</x:v>
      </x:c>
      <x:c r="D59" s="122" t="str">
        <x:v>info</x:v>
      </x:c>
      <x:c r="E59" s="126" t="str">
        <x:v>公爵不满阿塔梅投资回声蓝</x:v>
      </x:c>
      <x:c r="F59" s="122"/>
      <x:c r="G59" s="122"/>
      <x:c r="H59" s="122" t="str">
        <x:v>200008</x:v>
      </x:c>
      <x:c r="I59" s="121" t="n">
        <x:v>0</x:v>
      </x:c>
      <x:c r="J59" s="122" t="str">
        <x:v>puzzle:720013|plot:520218|record:620008|plot:520229|record:620009|puzzle:720014|plot:520223</x:v>
      </x:c>
      <x:c r="K59" s="129" t="str">
        <x:v>系统文案需求表(4) 人物页面（详情页）!F10</x:v>
      </x:c>
    </x:row>
    <x:row r="60" ht="34" customHeight="1">
      <x:c r="A60" s="120"/>
      <x:c r="B60" s="121" t="n">
        <x:v>320820</x:v>
      </x:c>
      <x:c r="C60" s="122" t="str">
        <x:v>阿塔梅灵感2</x:v>
      </x:c>
      <x:c r="D60" s="122" t="str">
        <x:v>info</x:v>
      </x:c>
      <x:c r="E60" s="126" t="str">
        <x:v>古堡如今经济大多由阿塔梅提供</x:v>
      </x:c>
      <x:c r="F60" s="122"/>
      <x:c r="G60" s="122"/>
      <x:c r="H60" s="122" t="str">
        <x:v>200008</x:v>
      </x:c>
      <x:c r="I60" s="121" t="n">
        <x:v>0</x:v>
      </x:c>
      <x:c r="J60" s="122" t="str">
        <x:v>plot:520196|record:620005</x:v>
      </x:c>
      <x:c r="K60" s="129" t="str">
        <x:v>系统文案需求表(4) 人物页面（详情页）!H10</x:v>
      </x:c>
    </x:row>
    <x:row r="61" ht="40" customHeight="1">
      <x:c r="A61" s="120"/>
      <x:c r="B61" s="121" t="n">
        <x:v>320821</x:v>
      </x:c>
      <x:c r="C61" s="122" t="str">
        <x:v>阿塔梅灵感2-1</x:v>
      </x:c>
      <x:c r="D61" s="122" t="str">
        <x:v>info</x:v>
      </x:c>
      <x:c r="E61" s="126" t="str">
        <x:v>古堡如今经济大多由阿塔梅提供，她对此感到不满</x:v>
      </x:c>
      <x:c r="F61" s="122"/>
      <x:c r="G61" s="122"/>
      <x:c r="H61" s="122" t="str">
        <x:v>200008</x:v>
      </x:c>
      <x:c r="I61" s="121" t="n">
        <x:v>0</x:v>
      </x:c>
      <x:c r="J61" s="122" t="str">
        <x:v>puzzle:720011|plot:520196|record:620005|plot:520241|record:620010</x:v>
      </x:c>
      <x:c r="K61" s="129" t="str">
        <x:v>系统文案需求表(4) 人物页面（详情页）!I10</x:v>
      </x:c>
    </x:row>
    <x:row r="62" ht="34" customHeight="1">
      <x:c r="A62" s="120"/>
      <x:c r="B62" s="121" t="n">
        <x:v>320830</x:v>
      </x:c>
      <x:c r="C62" s="122" t="str">
        <x:v>阿塔梅灵感3</x:v>
      </x:c>
      <x:c r="D62" s="122" t="str">
        <x:v>info</x:v>
      </x:c>
      <x:c r="E62" s="126" t="str">
        <x:v>有图章的邀请函不是阿塔梅赠送的</x:v>
      </x:c>
      <x:c r="F62" s="122"/>
      <x:c r="G62" s="122"/>
      <x:c r="H62" s="122" t="str">
        <x:v>200008</x:v>
      </x:c>
      <x:c r="I62" s="121" t="n">
        <x:v>0</x:v>
      </x:c>
      <x:c r="J62" s="122" t="str">
        <x:v>plot:520247|record:620011</x:v>
      </x:c>
      <x:c r="K62" s="129" t="str">
        <x:v>系统文案需求表(4) 人物页面（详情页）!J10</x:v>
      </x:c>
    </x:row>
    <x:row r="63" ht="34" customHeight="1">
      <x:c r="A63" s="120"/>
      <x:c r="B63" s="121" t="n">
        <x:v>320840</x:v>
      </x:c>
      <x:c r="C63" s="122" t="str">
        <x:v>阿塔梅灵感4</x:v>
      </x:c>
      <x:c r="D63" s="122" t="str">
        <x:v>info</x:v>
      </x:c>
      <x:c r="E63" s="126" t="str">
        <x:v>宴会操办几乎由阿塔梅一人完成</x:v>
      </x:c>
      <x:c r="F63" s="122"/>
      <x:c r="G63" s="122"/>
      <x:c r="H63" s="122" t="str">
        <x:v>200008</x:v>
      </x:c>
      <x:c r="I63" s="121" t="n">
        <x:v>0</x:v>
      </x:c>
      <x:c r="J63" s="122" t="str">
        <x:v>plot:520523|record:620138</x:v>
      </x:c>
      <x:c r="K63" s="129" t="str">
        <x:v>系统文案需求表(4) 人物页面（详情页）!K10</x:v>
      </x:c>
    </x:row>
    <x:row r="64" ht="34" customHeight="1">
      <x:c r="A64" s="120"/>
      <x:c r="B64" s="121" t="n">
        <x:v>320850</x:v>
      </x:c>
      <x:c r="C64" s="122" t="str">
        <x:v>阿塔梅灵感5</x:v>
      </x:c>
      <x:c r="D64" s="122" t="str">
        <x:v>info</x:v>
      </x:c>
      <x:c r="E64" s="126" t="str">
        <x:v>阿塔梅印象中公爵前几天离开了古堡</x:v>
      </x:c>
      <x:c r="F64" s="122"/>
      <x:c r="G64" s="122"/>
      <x:c r="H64" s="122" t="str">
        <x:v>200008</x:v>
      </x:c>
      <x:c r="I64" s="121" t="n">
        <x:v>0</x:v>
      </x:c>
      <x:c r="J64" s="122" t="str">
        <x:v>plot:520666|record:620154</x:v>
      </x:c>
      <x:c r="K64" s="129" t="str">
        <x:v>系统文案需求表(4) 人物页面（详情页）!L10</x:v>
      </x:c>
    </x:row>
    <x:row r="65" ht="34" hidden="0" customHeight="1">
      <x:c r="A65" s="120"/>
      <x:c r="B65" s="121" t="n">
        <x:v>320860</x:v>
      </x:c>
      <x:c r="C65" s="122" t="str">
        <x:v>阿塔梅灵感6</x:v>
      </x:c>
      <x:c r="D65" s="122" t="str">
        <x:v>info</x:v>
      </x:c>
      <x:c r="E65" s="126" t="str">
        <x:v>阿塔梅认为凶手藏在本次宾客之中</x:v>
      </x:c>
      <x:c r="F65" s="122"/>
      <x:c r="G65" s="122"/>
      <x:c r="H65" s="122" t="str">
        <x:v>200008</x:v>
      </x:c>
      <x:c r="I65" s="121" t="n">
        <x:v>0</x:v>
      </x:c>
      <x:c r="J65" s="122" t="str">
        <x:v>plot:520768|record:620162</x:v>
      </x:c>
      <x:c r="K65" s="129" t="str">
        <x:v>系统文案需求表(4) 人物页面（详情页）!M10</x:v>
      </x:c>
    </x:row>
    <x:row r="66" ht="34" hidden="0" customHeight="1">
      <x:c r="A66" s="120"/>
      <x:c r="B66" s="121" t="n">
        <x:v>320870</x:v>
      </x:c>
      <x:c r="C66" s="122" t="str">
        <x:v>阿塔梅灵感7</x:v>
      </x:c>
      <x:c r="D66" s="122" t="str">
        <x:v>info</x:v>
      </x:c>
      <x:c r="E66" s="126" t="str">
        <x:v>阿塔梅并不知道录音设备存在</x:v>
      </x:c>
      <x:c r="F66" s="122"/>
      <x:c r="G66" s="122"/>
      <x:c r="H66" s="122" t="str">
        <x:v>200008</x:v>
      </x:c>
      <x:c r="I66" s="121" t="n">
        <x:v>0</x:v>
      </x:c>
      <x:c r="J66" s="122" t="str">
        <x:v>plot:521018|record:620183</x:v>
      </x:c>
      <x:c r="K66" s="129" t="str">
        <x:v>系统文案需求表(4) 人物页面（详情页）!N10</x:v>
      </x:c>
    </x:row>
    <x:row r="67" ht="34" hidden="0" customHeight="1">
      <x:c r="A67" s="120"/>
      <x:c r="B67" s="121" t="n">
        <x:v>320880</x:v>
      </x:c>
      <x:c r="C67" s="122" t="str">
        <x:v>阿塔梅灵感8</x:v>
      </x:c>
      <x:c r="D67" s="122" t="str">
        <x:v>info</x:v>
      </x:c>
      <x:c r="E67" s="126" t="str">
        <x:v>邀请函、信件都是伪造的</x:v>
      </x:c>
      <x:c r="F67" s="122"/>
      <x:c r="G67" s="122"/>
      <x:c r="H67" s="122" t="str">
        <x:v>200008</x:v>
      </x:c>
      <x:c r="I67" s="121" t="n">
        <x:v>0</x:v>
      </x:c>
      <x:c r="J67" s="122" t="str">
        <x:v>plot:521018|record:620183</x:v>
      </x:c>
      <x:c r="K67" s="129" t="str">
        <x:v>系统文案需求表(4) 人物页面（详情页）!Q10</x:v>
      </x:c>
    </x:row>
    <x:row r="68" ht="34" hidden="0" customHeight="1">
      <x:c r="A68" s="120"/>
      <x:c r="B68" s="121" t="n">
        <x:v>340001</x:v>
      </x:c>
      <x:c r="C68" s="122" t="str">
        <x:v>线索1</x:v>
      </x:c>
      <x:c r="D68" s="122" t="str">
        <x:v>clue</x:v>
      </x:c>
      <x:c r="E68" s="126" t="str">
        <x:v>古堡邀请名单并没有你，但邀请函使用的是古堡信纸和印泥</x:v>
      </x:c>
      <x:c r="F68" s="122"/>
      <x:c r="G68" s="122"/>
      <x:c r="H68" s="122"/>
      <x:c r="I68" s="121" t="n">
        <x:v>0</x:v>
      </x:c>
      <x:c r="J68" s="122" t="str">
        <x:v>plot:520011|record:620031</x:v>
      </x:c>
      <x:c r="K68" s="129" t="str">
        <x:v>系统文案需求表(4) 记录!B2</x:v>
      </x:c>
    </x:row>
    <x:row r="69" ht="34" hidden="0" customHeight="1">
      <x:c r="A69" s="120"/>
      <x:c r="B69" s="121" t="n">
        <x:v>340002</x:v>
      </x:c>
      <x:c r="C69" s="122" t="str">
        <x:v>线索2</x:v>
      </x:c>
      <x:c r="D69" s="122" t="str">
        <x:v>clue</x:v>
      </x:c>
      <x:c r="E69" s="126" t="str">
        <x:v>有图章的邀请函并不是阿塔梅或公爵赠送的</x:v>
      </x:c>
      <x:c r="F69" s="122"/>
      <x:c r="G69" s="122"/>
      <x:c r="H69" s="122"/>
      <x:c r="I69" s="121" t="n">
        <x:v>0</x:v>
      </x:c>
      <x:c r="J69" s="122" t="str">
        <x:v>plot:520247|record:620011</x:v>
      </x:c>
      <x:c r="K69" s="129" t="str">
        <x:v>系统文案需求表(4) 记录!B3</x:v>
      </x:c>
    </x:row>
    <x:row r="70" ht="34" hidden="0" customHeight="1">
      <x:c r="A70" s="120"/>
      <x:c r="B70" s="121" t="n">
        <x:v>340003</x:v>
      </x:c>
      <x:c r="C70" s="122" t="str">
        <x:v>线索3</x:v>
      </x:c>
      <x:c r="D70" s="122" t="str">
        <x:v>clue</x:v>
      </x:c>
      <x:c r="E70" s="126" t="str">
        <x:v>科林回忆中，回声蓝近期没有写过任何信</x:v>
      </x:c>
      <x:c r="F70" s="122"/>
      <x:c r="G70" s="122"/>
      <x:c r="H70" s="122"/>
      <x:c r="I70" s="121" t="n">
        <x:v>0</x:v>
      </x:c>
      <x:c r="J70" s="122" t="str">
        <x:v>plot:520420|record:620021</x:v>
      </x:c>
      <x:c r="K70" s="129" t="str">
        <x:v>系统文案需求表(4) 记录!B4</x:v>
      </x:c>
    </x:row>
    <x:row r="71" ht="40" customHeight="1">
      <x:c r="A71" s="123"/>
      <x:c r="B71" s="124" t="n">
        <x:v>340004</x:v>
      </x:c>
      <x:c r="C71" s="123" t="str">
        <x:v>线索4</x:v>
      </x:c>
      <x:c r="D71" s="123" t="str">
        <x:v>clue</x:v>
      </x:c>
      <x:c r="E71" s="127" t="str">
        <x:v>维里诺和卡德曾在一月六日单独与你的伴手礼相处过</x:v>
      </x:c>
      <x:c r="F71" s="123"/>
      <x:c r="G71" s="123"/>
      <x:c r="H71" s="123"/>
      <x:c r="I71" s="123" t="n">
        <x:v>0</x:v>
      </x:c>
      <x:c r="J71" s="123" t="str">
        <x:v>puzzle:720015|plot:520208|record:620007|plot:520260|record:620012</x:v>
      </x:c>
      <x:c r="K71" s="129" t="str">
        <x:v>系统文案需求表(4) 记录!B5</x:v>
      </x:c>
    </x:row>
    <x:row r="72" ht="34" customHeight="1">
      <x:c r="A72" s="123"/>
      <x:c r="B72" s="124" t="n">
        <x:v>340005</x:v>
      </x:c>
      <x:c r="C72" s="123" t="str">
        <x:v>线索5</x:v>
      </x:c>
      <x:c r="D72" s="123" t="str">
        <x:v>clue</x:v>
      </x:c>
      <x:c r="E72" s="127" t="str">
        <x:v>维里诺与米娅关系很好</x:v>
      </x:c>
      <x:c r="F72" s="123"/>
      <x:c r="G72" s="123"/>
      <x:c r="H72" s="123"/>
      <x:c r="I72" s="123" t="n">
        <x:v>0</x:v>
      </x:c>
      <x:c r="J72" s="123" t="str">
        <x:v>event:920028</x:v>
      </x:c>
      <x:c r="K72" s="129" t="str">
        <x:v>系统文案需求表(4) 记录!B6</x:v>
      </x:c>
    </x:row>
    <x:row r="73" ht="34" customHeight="1">
      <x:c r="A73" s="123"/>
      <x:c r="B73" s="124" t="n">
        <x:v>340006</x:v>
      </x:c>
      <x:c r="C73" s="123" t="str">
        <x:v>线索6</x:v>
      </x:c>
      <x:c r="D73" s="123" t="str">
        <x:v>clue</x:v>
      </x:c>
      <x:c r="E73" s="127" t="str">
        <x:v>米娅知道你的邀请函出了问题，并告诉了维里诺</x:v>
      </x:c>
      <x:c r="F73" s="123"/>
      <x:c r="G73" s="123"/>
      <x:c r="H73" s="123"/>
      <x:c r="I73" s="123" t="n">
        <x:v>0</x:v>
      </x:c>
      <x:c r="J73" s="123" t="str">
        <x:v>event:920037</x:v>
      </x:c>
      <x:c r="K73" s="129" t="str">
        <x:v>系统文案需求表(4) 记录!B7</x:v>
      </x:c>
    </x:row>
    <x:row r="74" ht="34" customHeight="1">
      <x:c r="A74" s="123"/>
      <x:c r="B74" s="124" t="n">
        <x:v>340007</x:v>
      </x:c>
      <x:c r="C74" s="123" t="str">
        <x:v>线索7</x:v>
      </x:c>
      <x:c r="D74" s="123" t="str">
        <x:v>clue</x:v>
      </x:c>
      <x:c r="E74" s="127" t="str">
        <x:v>“凶手”需要对古堡结构十分熟悉，宾客之中大多都具备这个条件</x:v>
      </x:c>
      <x:c r="F74" s="123"/>
      <x:c r="G74" s="123"/>
      <x:c r="H74" s="123"/>
      <x:c r="I74" s="123" t="n">
        <x:v>0</x:v>
      </x:c>
      <x:c r="J74" s="123" t="str">
        <x:v>event:920063</x:v>
      </x:c>
      <x:c r="K74" s="129" t="str">
        <x:v>系统文案需求表(4) 记录!B8</x:v>
      </x:c>
    </x:row>
    <x:row r="75" ht="34" customHeight="1">
      <x:c r="A75" s="123"/>
      <x:c r="B75" s="124" t="n">
        <x:v>340071</x:v>
      </x:c>
      <x:c r="C75" s="123" t="str">
        <x:v>线索7变式1</x:v>
      </x:c>
      <x:c r="D75" s="123" t="str">
        <x:v>clue</x:v>
      </x:c>
      <x:c r="E75" s="127" t="str">
        <x:v>维里诺幼年曾在古堡生活过</x:v>
      </x:c>
      <x:c r="F75" s="123"/>
      <x:c r="G75" s="123"/>
      <x:c r="H75" s="123"/>
      <x:c r="I75" s="123" t="n">
        <x:v>0</x:v>
      </x:c>
      <x:c r="J75" s="123" t="str">
        <x:v>event:920068</x:v>
      </x:c>
      <x:c r="K75" s="129" t="str">
        <x:v>系统文案需求表(4) 记录!C8</x:v>
      </x:c>
    </x:row>
    <x:row r="76" ht="34" customHeight="1">
      <x:c r="A76" s="123"/>
      <x:c r="B76" s="124" t="n">
        <x:v>340072</x:v>
      </x:c>
      <x:c r="C76" s="123" t="str">
        <x:v>线索7变式2</x:v>
      </x:c>
      <x:c r="D76" s="123" t="str">
        <x:v>clue</x:v>
      </x:c>
      <x:c r="E76" s="127" t="str">
        <x:v>维里诺幼年曾在古堡生活过，并且母亲是古堡女佣</x:v>
      </x:c>
      <x:c r="F76" s="123"/>
      <x:c r="G76" s="123"/>
      <x:c r="H76" s="123"/>
      <x:c r="I76" s="123" t="n">
        <x:v>0</x:v>
      </x:c>
      <x:c r="J76" s="123" t="str">
        <x:v>record:620024</x:v>
      </x:c>
      <x:c r="K76" s="129" t="str">
        <x:v>系统文案需求表(4) 记录!D8</x:v>
      </x:c>
    </x:row>
    <x:row r="77" ht="34" customHeight="1">
      <x:c r="A77" s="123"/>
      <x:c r="B77" s="124" t="n">
        <x:v>340008</x:v>
      </x:c>
      <x:c r="C77" s="123" t="str">
        <x:v>线索8</x:v>
      </x:c>
      <x:c r="D77" s="123" t="str">
        <x:v>clue</x:v>
      </x:c>
      <x:c r="E77" s="127" t="str">
        <x:v>维里诺和莫伊帕早在宴会之前就了解你了。</x:v>
      </x:c>
      <x:c r="F77" s="123"/>
      <x:c r="G77" s="123"/>
      <x:c r="H77" s="123"/>
      <x:c r="I77" s="123" t="n">
        <x:v>0</x:v>
      </x:c>
      <x:c r="J77" s="123" t="str">
        <x:v>event:920028</x:v>
      </x:c>
      <x:c r="K77" s="129" t="str">
        <x:v>系统文案需求表(4) 记录!B9</x:v>
      </x:c>
    </x:row>
    <x:row r="78" ht="34" customHeight="1">
      <x:c r="A78" s="123"/>
      <x:c r="B78" s="124" t="n">
        <x:v>340009</x:v>
      </x:c>
      <x:c r="C78" s="123" t="str">
        <x:v>线索9</x:v>
      </x:c>
      <x:c r="D78" s="123" t="str">
        <x:v>clue</x:v>
      </x:c>
      <x:c r="E78" s="127" t="str">
        <x:v>卡德此前与你未曾谋面</x:v>
      </x:c>
      <x:c r="F78" s="123"/>
      <x:c r="G78" s="123"/>
      <x:c r="H78" s="123"/>
      <x:c r="I78" s="123" t="n">
        <x:v>0</x:v>
      </x:c>
      <x:c r="J78" s="123" t="str">
        <x:v>plot:520256|record:620012</x:v>
      </x:c>
      <x:c r="K78" s="129" t="str">
        <x:v>系统文案需求表(4) 记录!B10</x:v>
      </x:c>
    </x:row>
    <x:row r="79" ht="34" customHeight="1">
      <x:c r="A79" s="123"/>
      <x:c r="B79" s="124" t="n">
        <x:v>340091</x:v>
      </x:c>
      <x:c r="C79" s="123" t="str">
        <x:v>线索9变式1</x:v>
      </x:c>
      <x:c r="D79" s="123" t="str">
        <x:v>clue</x:v>
      </x:c>
      <x:c r="E79" s="127" t="str">
        <x:v>卡德此前与你未曾谋面，对话中也从未提及你母亲。</x:v>
      </x:c>
      <x:c r="F79" s="123"/>
      <x:c r="G79" s="123"/>
      <x:c r="H79" s="123"/>
      <x:c r="I79" s="123" t="n">
        <x:v>0</x:v>
      </x:c>
      <x:c r="J79" s="123" t="str">
        <x:v>event:920036</x:v>
      </x:c>
      <x:c r="K79" s="129" t="str">
        <x:v>系统文案需求表(4) 记录!C10</x:v>
      </x:c>
    </x:row>
    <x:row r="80" ht="34" customHeight="1">
      <x:c r="A80" s="123"/>
      <x:c r="B80" s="124" t="n">
        <x:v>340010</x:v>
      </x:c>
      <x:c r="C80" s="123" t="str">
        <x:v>线索10</x:v>
      </x:c>
      <x:c r="D80" s="123" t="str">
        <x:v>clue</x:v>
      </x:c>
      <x:c r="E80" s="127" t="str">
        <x:v>录音设备中，或许有能证明“私生子”身份的东西</x:v>
      </x:c>
      <x:c r="F80" s="123"/>
      <x:c r="G80" s="123"/>
      <x:c r="H80" s="123"/>
      <x:c r="I80" s="123" t="n">
        <x:v>0</x:v>
      </x:c>
      <x:c r="J80" s="123" t="str">
        <x:v>plot:520755|record:620030</x:v>
      </x:c>
      <x:c r="K80" s="129" t="str">
        <x:v>系统文案需求表(4) 记录!B11</x:v>
      </x:c>
    </x:row>
    <x:row r="81" ht="70" customHeight="1">
      <x:c r="A81" s="123"/>
      <x:c r="B81" s="124" t="n">
        <x:v>300001</x:v>
      </x:c>
      <x:c r="C81" s="123" t="str">
        <x:v>宴会邀请函</x:v>
      </x:c>
      <x:c r="D81" s="123" t="str">
        <x:v>item</x:v>
      </x:c>
      <x:c r="E81" s="127" t="str">
        <x:v>一封劳里耶古堡的宴会邀请函。
信纸上仍残留着雪松香，仿佛刚从壁炉旁的木桌上取下，署名处只有「劳里耶古堡」及火漆印泥。
“那位回声蓝·艾布拉姆斯女士也会赴宴吗？那似乎没有不去的理由了。”</x:v>
      </x:c>
      <x:c r="F81" s="123"/>
      <x:c r="G81" s="123" t="str">
        <x:v>文案原图/道具描述_第2行.png</x:v>
      </x:c>
      <x:c r="H81" s="123"/>
      <x:c r="I81" s="123" t="n">
        <x:v>0</x:v>
      </x:c>
      <x:c r="J81" s="123"/>
      <x:c r="K81" s="129" t="str">
        <x:v>系统文案需求表(4) 道具描述!I2</x:v>
      </x:c>
    </x:row>
    <x:row r="82" ht="40" customHeight="1">
      <x:c r="A82" s="123"/>
      <x:c r="B82" s="124" t="n">
        <x:v>300002</x:v>
      </x:c>
      <x:c r="C82" s="123" t="str">
        <x:v>信件（折着的状态）信件图标</x:v>
      </x:c>
      <x:c r="D82" s="123" t="str">
        <x:v>item</x:v>
      </x:c>
      <x:c r="E82" s="127" t="str">
        <x:v>随着古堡邀请函一同送来的短函。</x:v>
      </x:c>
      <x:c r="F82" s="123"/>
      <x:c r="G82" s="123" t="str">
        <x:v>文案原图/道具描述_第4行.png</x:v>
      </x:c>
      <x:c r="H82" s="123"/>
      <x:c r="I82" s="123" t="n">
        <x:v>0</x:v>
      </x:c>
      <x:c r="J82" s="123" t="str">
        <x:v>event:920003</x:v>
      </x:c>
      <x:c r="K82" s="129" t="str">
        <x:v>系统文案需求表(4) 道具描述!I3</x:v>
      </x:c>
    </x:row>
    <x:row r="83" ht="40" customHeight="1">
      <x:c r="A83" s="123"/>
      <x:c r="B83" s="124" t="n">
        <x:v>2001</x:v>
      </x:c>
      <x:c r="C83" s="123" t="str">
        <x:v>磁带-“《忠诚》”</x:v>
      </x:c>
      <x:c r="D83" s="123" t="str">
        <x:v>tape</x:v>
      </x:c>
      <x:c r="E83" s="127" t="str">
        <x:v>一段关于“忠诚”讨论的广播。
是你的小助手玛格丽特提前准备的，只可惜并不能与她一起收听了。</x:v>
      </x:c>
      <x:c r="F83" s="123"/>
      <x:c r="G83" s="123"/>
      <x:c r="H83" s="123"/>
      <x:c r="I83" s="123" t="n">
        <x:v>620001</x:v>
      </x:c>
      <x:c r="J83" s="123" t="str">
        <x:v>event:920007</x:v>
      </x:c>
      <x:c r="K83" s="129" t="str">
        <x:v>系统文案需求表(4) 道具描述!I5</x:v>
      </x:c>
    </x:row>
    <x:row r="84" ht="55" customHeight="1">
      <x:c r="A84" s="123"/>
      <x:c r="B84" s="124" t="n">
        <x:v>2002</x:v>
      </x:c>
      <x:c r="C84" s="123" t="str">
        <x:v>磁带-你的音乐</x:v>
      </x:c>
      <x:c r="D84" s="123" t="str">
        <x:v>tape</x:v>
      </x:c>
      <x:c r="E84" s="127" t="str">
        <x:v>古堡女仆们的一段谈话。
提及你的音乐风格，总是有人喜欢、有人厌烦，并因这个话题闹得不欢而散。但没关系，这些事情你早就知道了。</x:v>
      </x:c>
      <x:c r="F84" s="123"/>
      <x:c r="G84" s="123"/>
      <x:c r="H84" s="123"/>
      <x:c r="I84" s="123" t="n">
        <x:v>620014</x:v>
      </x:c>
      <x:c r="J84" s="123" t="str">
        <x:v>event:920011</x:v>
      </x:c>
      <x:c r="K84" s="129" t="str">
        <x:v>系统文案需求表(4) 道具描述!I6</x:v>
      </x:c>
    </x:row>
    <x:row r="85" ht="34" customHeight="1">
      <x:c r="A85" s="123"/>
      <x:c r="B85" s="124" t="n">
        <x:v>2004</x:v>
      </x:c>
      <x:c r="C85" s="123" t="str">
        <x:v>磁带-0004</x:v>
      </x:c>
      <x:c r="D85" s="123" t="str">
        <x:v>tape</x:v>
      </x:c>
      <x:c r="E85" s="127" t="str">
        <x:v>古堡秘闻：画家幼年和女佣玩耍</x:v>
      </x:c>
      <x:c r="F85" s="123"/>
      <x:c r="G85" s="123"/>
      <x:c r="H85" s="123"/>
      <x:c r="I85" s="123" t="n">
        <x:v>620024</x:v>
      </x:c>
      <x:c r="J85" s="123" t="str">
        <x:v>event:920068</x:v>
      </x:c>
      <x:c r="K85" s="129" t="str">
        <x:v>系统文案需求表(4) 道具描述!G8</x:v>
      </x:c>
    </x:row>
    <x:row r="86" ht="40" customHeight="1">
      <x:c r="A86" s="123"/>
      <x:c r="B86" s="124" t="n">
        <x:v>300003</x:v>
      </x:c>
      <x:c r="C86" s="123" t="str">
        <x:v>古堡伴手礼</x:v>
      </x:c>
      <x:c r="D86" s="123" t="str">
        <x:v>item</x:v>
      </x:c>
      <x:c r="E86" s="127" t="str">
        <x:v>由米娅送来的一份古堡伴手礼。
精致的包装和丝带，让人忍不住想拆开看看。</x:v>
      </x:c>
      <x:c r="F86" s="123"/>
      <x:c r="G86" s="123"/>
      <x:c r="H86" s="123"/>
      <x:c r="I86" s="123" t="n">
        <x:v>0</x:v>
      </x:c>
      <x:c r="J86" s="123" t="str">
        <x:v>event:920014</x:v>
      </x:c>
      <x:c r="K86" s="129" t="str">
        <x:v>系统文案需求表(4) 道具描述!I10</x:v>
      </x:c>
    </x:row>
    <x:row r="87" ht="55" customHeight="1">
      <x:c r="A87" s="123"/>
      <x:c r="B87" s="124" t="n">
        <x:v>300004</x:v>
      </x:c>
      <x:c r="C87" s="123" t="str">
        <x:v>美味的松饼</x:v>
      </x:c>
      <x:c r="D87" s="123" t="str">
        <x:v>item</x:v>
      </x:c>
      <x:c r="E87" s="127" t="str">
        <x:v>香甜可口的松饼。
胆小的艾玛希望你能将松饼给维里诺，或许在维里诺的房间能够找到他吧？
 </x:v>
      </x:c>
      <x:c r="F87" s="123"/>
      <x:c r="G87" s="123"/>
      <x:c r="H87" s="123"/>
      <x:c r="I87" s="123" t="n">
        <x:v>0</x:v>
      </x:c>
      <x:c r="J87" s="123" t="str">
        <x:v>event:920068</x:v>
      </x:c>
      <x:c r="K87" s="129" t="str">
        <x:v>系统文案需求表(4) 道具描述!I11</x:v>
      </x:c>
    </x:row>
    <x:row r="88" ht="55" customHeight="1">
      <x:c r="A88" s="123"/>
      <x:c r="B88" s="124" t="n">
        <x:v>2006</x:v>
      </x:c>
      <x:c r="C88" s="123" t="str">
        <x:v>磁带-“古堡的管家”</x:v>
      </x:c>
      <x:c r="D88" s="123" t="str">
        <x:v>tape</x:v>
      </x:c>
      <x:c r="E88" s="127" t="str">
        <x:v>两位管家与公爵多年前的对话。
身为古堡的管家，忠于的究竟是古堡的主人，还是古堡本身？年轻的管家尚未做出抉择，毕竟命运从来就没有给过他选择的机会。</x:v>
      </x:c>
      <x:c r="F88" s="123"/>
      <x:c r="G88" s="123"/>
      <x:c r="H88" s="123"/>
      <x:c r="I88" s="123" t="n">
        <x:v>620027</x:v>
      </x:c>
      <x:c r="J88" s="123" t="str">
        <x:v>event:920030</x:v>
      </x:c>
      <x:c r="K88" s="129" t="str">
        <x:v>系统文案需求表(4) 道具描述!I12</x:v>
      </x:c>
    </x:row>
    <x:row r="89" ht="70" customHeight="1">
      <x:c r="A89" s="123"/>
      <x:c r="B89" s="124" t="n">
        <x:v>2007</x:v>
      </x:c>
      <x:c r="C89" s="123" t="str">
        <x:v>磁带-“欢迎回来”</x:v>
      </x:c>
      <x:c r="D89" s="123" t="str">
        <x:v>tape</x:v>
      </x:c>
      <x:c r="E89" s="127" t="str">
        <x:v>拥有温暖的黄油香味的磁带。
重病的孩童没有留下完整的记忆，只记得妈妈那天回家后微微出汗的手和发亮的瞳孔，只记得妈妈哽咽着告诉他：好孩子，我们回家。
好的，妈妈，我们回家。回到有你在的家。</x:v>
      </x:c>
      <x:c r="F89" s="123"/>
      <x:c r="G89" s="123"/>
      <x:c r="H89" s="123"/>
      <x:c r="I89" s="123" t="n">
        <x:v>620026</x:v>
      </x:c>
      <x:c r="J89" s="123" t="str">
        <x:v>event:920072</x:v>
      </x:c>
      <x:c r="K89" s="129" t="str">
        <x:v>系统文案需求表(4) 道具描述!I13</x:v>
      </x:c>
    </x:row>
    <x:row r="90" ht="40" customHeight="1">
      <x:c r="A90" s="123"/>
      <x:c r="B90" s="124" t="n">
        <x:v>300005</x:v>
      </x:c>
      <x:c r="C90" s="123" t="str">
        <x:v>和伴手礼一起送来的信</x:v>
      </x:c>
      <x:c r="D90" s="123" t="str">
        <x:v>item</x:v>
      </x:c>
      <x:c r="E90" s="127" t="str">
        <x:v>随着古堡伴手礼一起送来的信。
信件以回声蓝医生的口吻，邀请你前往探讨病情。</x:v>
      </x:c>
      <x:c r="F90" s="123"/>
      <x:c r="G90" s="123" t="str">
        <x:v>文案原图/道具描述_第14行.png</x:v>
      </x:c>
      <x:c r="H90" s="123"/>
      <x:c r="I90" s="123" t="n">
        <x:v>0</x:v>
      </x:c>
      <x:c r="J90" s="123" t="str">
        <x:v>event:920015</x:v>
      </x:c>
      <x:c r="K90" s="129" t="str">
        <x:v>系统文案需求表(4) 道具描述!I14</x:v>
      </x:c>
    </x:row>
    <x:row r="91" ht="34" customHeight="1">
      <x:c r="A91" s="123"/>
      <x:c r="B91" s="124" t="n">
        <x:v>300006</x:v>
      </x:c>
      <x:c r="C91" s="123" t="str">
        <x:v>古堡地图</x:v>
      </x:c>
      <x:c r="D91" s="123" t="str">
        <x:v>item</x:v>
      </x:c>
      <x:c r="E91" s="123" t="str">
        <x:v>古堡一层与二层的地图；地图已标注区域以正式地图为准。</x:v>
      </x:c>
      <x:c r="F91" s="123"/>
      <x:c r="G91" s="123"/>
      <x:c r="H91" s="123"/>
      <x:c r="I91" s="123" t="n">
        <x:v>0</x:v>
      </x:c>
      <x:c r="J91" s="123" t="str">
        <x:v>event:920003</x:v>
      </x:c>
      <x:c r="K91" s="129" t="str">
        <x:v>程序说明补写（非文案原句）；依据现有配置及已确认交互。</x:v>
      </x:c>
    </x:row>
    <x:row r="92" ht="34" customHeight="1">
      <x:c r="A92" s="123"/>
      <x:c r="B92" s="124" t="n">
        <x:v>300007</x:v>
      </x:c>
      <x:c r="C92" s="123" t="str">
        <x:v>空磁带</x:v>
      </x:c>
      <x:c r="D92" s="123" t="str">
        <x:v>tape</x:v>
      </x:c>
      <x:c r="E92" s="123" t="str">
        <x:v>可在中控室刻录一份可访问的录音文件。</x:v>
      </x:c>
      <x:c r="F92" s="123"/>
      <x:c r="G92" s="123"/>
      <x:c r="H92" s="123"/>
      <x:c r="I92" s="123" t="n">
        <x:v>0</x:v>
      </x:c>
      <x:c r="J92" s="123"/>
      <x:c r="K92" s="129" t="str">
        <x:v>程序说明补写（非文案原句）；依据现有配置及已确认交互。</x:v>
      </x:c>
    </x:row>
    <x:row r="93" ht="34" customHeight="1">
      <x:c r="A93" s="123"/>
      <x:c r="B93" s="124" t="n">
        <x:v>2025</x:v>
      </x:c>
      <x:c r="C93" s="123" t="str">
        <x:v>磁带-25</x:v>
      </x:c>
      <x:c r="D93" s="123" t="str">
        <x:v>tape</x:v>
      </x:c>
      <x:c r="E93" s="123" t="str">
        <x:v>推理成功后涌现的录音。</x:v>
      </x:c>
      <x:c r="F93" s="123"/>
      <x:c r="G93" s="123"/>
      <x:c r="H93" s="123"/>
      <x:c r="I93" s="123" t="n">
        <x:v>620025</x:v>
      </x:c>
      <x:c r="J93" s="123" t="str">
        <x:v>puzzle:720030</x:v>
      </x:c>
      <x:c r="K93" s="129" t="str">
        <x:v>程序说明补写（非文案原句）；依据现有配置及已确认交互。</x:v>
      </x:c>
    </x:row>
    <x:row r="94" ht="34" customHeight="1">
      <x:c r="A94" s="123"/>
      <x:c r="B94" s="124" t="n">
        <x:v>329999</x:v>
      </x:c>
      <x:c r="C94" s="123" t="str">
        <x:v>维里诺路径验证奖励</x:v>
      </x:c>
      <x:c r="D94" s="123" t="str">
        <x:v>info</x:v>
      </x:c>
      <x:c r="E94" s="127" t="str">
        <x:v>寻找真相的这条路上，我可以成为你最独特的那枚棋子。</x:v>
      </x:c>
      <x:c r="F94" s="123"/>
      <x:c r="G94" s="123"/>
      <x:c r="H94" s="123" t="str">
        <x:v>200006</x:v>
      </x:c>
      <x:c r="I94" s="123" t="n">
        <x:v>0</x:v>
      </x:c>
      <x:c r="J94" s="123" t="str">
        <x:v>puzzle:720020</x:v>
      </x:c>
      <x:c r="K94" s="129" t="str">
        <x:v>2026-10-19用户指定原句；详情页永久最后一排</x:v>
      </x:c>
    </x:row>
    <x:row r="95" ht="34" customHeight="1">
      <x:c r="A95" s="123"/>
      <x:c r="B95" s="124" t="n">
        <x:v>330001</x:v>
      </x:c>
      <x:c r="C95" s="123" t="str">
        <x:v>二层走廊位置已确认</x:v>
      </x:c>
      <x:c r="D95" s="123" t="str">
        <x:v>clue</x:v>
      </x:c>
      <x:c r="E95" s="123" t="str">
        <x:v>二层走廊对应的设备位置已确认。</x:v>
      </x:c>
      <x:c r="F95" s="123"/>
      <x:c r="G95" s="123"/>
      <x:c r="H95" s="123"/>
      <x:c r="I95" s="123" t="n">
        <x:v>0</x:v>
      </x:c>
      <x:c r="J95" s="123" t="str">
        <x:v>plot:520202|record:620006</x:v>
      </x:c>
      <x:c r="K95" s="129" t="str">
        <x:v>程序说明补写（非文案原句）；依据现有配置及已确认交互。</x:v>
      </x:c>
    </x:row>
    <x:row r="96" ht="34" customHeight="1">
      <x:c r="A96" s="123"/>
      <x:c r="B96" s="124" t="n">
        <x:v>330002</x:v>
      </x:c>
      <x:c r="C96" s="123" t="str">
        <x:v>后厨位置已确认</x:v>
      </x:c>
      <x:c r="D96" s="123" t="str">
        <x:v>clue</x:v>
      </x:c>
      <x:c r="E96" s="123" t="str">
        <x:v>后厨对应的设备位置已确认。</x:v>
      </x:c>
      <x:c r="F96" s="123"/>
      <x:c r="G96" s="123"/>
      <x:c r="H96" s="123"/>
      <x:c r="I96" s="123" t="n">
        <x:v>0</x:v>
      </x:c>
      <x:c r="J96" s="123" t="str">
        <x:v>plot:520208|record:620007</x:v>
      </x:c>
      <x:c r="K96" s="129" t="str">
        <x:v>程序说明补写（非文案原句）；依据现有配置及已确认交互。</x:v>
      </x:c>
    </x:row>
    <x:row r="97" ht="34" customHeight="1">
      <x:c r="A97" s="123"/>
      <x:c r="B97" s="124" t="n">
        <x:v>330003</x:v>
      </x:c>
      <x:c r="C97" s="123" t="str">
        <x:v>议事厅位置已确认</x:v>
      </x:c>
      <x:c r="D97" s="123" t="str">
        <x:v>clue</x:v>
      </x:c>
      <x:c r="E97" s="123" t="str">
        <x:v>议事厅对应的设备位置已确认。</x:v>
      </x:c>
      <x:c r="F97" s="123"/>
      <x:c r="G97" s="123"/>
      <x:c r="H97" s="123"/>
      <x:c r="I97" s="123" t="n">
        <x:v>0</x:v>
      </x:c>
      <x:c r="J97" s="123" t="str">
        <x:v>plot:520232|record:620009</x:v>
      </x:c>
      <x:c r="K97" s="129" t="str">
        <x:v>程序说明补写（非文案原句）；依据现有配置及已确认交互。</x:v>
      </x:c>
    </x:row>
    <x:row r="98" ht="34" customHeight="1">
      <x:c r="A98" s="123"/>
      <x:c r="B98" s="124" t="n">
        <x:v>330004</x:v>
      </x:c>
      <x:c r="C98" s="123" t="str">
        <x:v>医生设备位置已确认</x:v>
      </x:c>
      <x:c r="D98" s="123" t="str">
        <x:v>clue</x:v>
      </x:c>
      <x:c r="E98" s="123" t="str">
        <x:v>医生对应的设备位置已确认。</x:v>
      </x:c>
      <x:c r="F98" s="123"/>
      <x:c r="G98" s="123"/>
      <x:c r="H98" s="123"/>
      <x:c r="I98" s="123" t="n">
        <x:v>0</x:v>
      </x:c>
      <x:c r="J98" s="123" t="str">
        <x:v>plot:520912|record:620028</x:v>
      </x:c>
      <x:c r="K98" s="129" t="str">
        <x:v>程序说明补写（非文案原句）；依据现有配置及已确认交互。</x:v>
      </x:c>
    </x:row>
    <x:row r="99" ht="34" customHeight="1">
      <x:c r="A99" s="123"/>
      <x:c r="B99" s="124" t="n">
        <x:v>330010</x:v>
      </x:c>
      <x:c r="C99" s="123" t="str">
        <x:v>客房时间参照</x:v>
      </x:c>
      <x:c r="D99" s="123" t="str">
        <x:v>clue</x:v>
      </x:c>
      <x:c r="E99" s="123" t="str">
        <x:v>女主房间的录音时间正确，可作为首次设备校准的参照。</x:v>
      </x:c>
      <x:c r="F99" s="123"/>
      <x:c r="G99" s="123"/>
      <x:c r="H99" s="123"/>
      <x:c r="I99" s="123" t="n">
        <x:v>0</x:v>
      </x:c>
      <x:c r="J99" s="123" t="str">
        <x:v>plot:520040|record:620015</x:v>
      </x:c>
      <x:c r="K99" s="129" t="str">
        <x:v>程序说明补写（非文案原句）；依据现有配置及已确认交互。</x:v>
      </x:c>
    </x:row>
  </x:sheetData>
  <x:dataValidations count="2">
    <x:dataValidation type="list" sqref="D6:D64">
      <x:formula1>"item,tape,clue,info,event"</x:formula1>
    </x:dataValidation>
    <x:dataValidation type="list" sqref="D65:D70">
      <x:formula1>"item,tape,clue,info,event"</x:formula1>
    </x:dataValidation>
  </x:dataValidations>
  <x:pageMargins left="0.7" right="0.7" top="0.75" bottom="0.75" header="0.3" footer="0.3"/>
</x:worksheet>
</file>